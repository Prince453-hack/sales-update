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tables/table4.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Z:\Shared\Accounting\Accounts Receivable\Franchise Accounting\Weekly Billing\Franchise Sales\2026 Reconciliations\"/>
    </mc:Choice>
  </mc:AlternateContent>
  <xr:revisionPtr revIDLastSave="0" documentId="13_ncr:1_{53B8157C-1185-45FD-A190-547080D96BE2}" xr6:coauthVersionLast="47" xr6:coauthVersionMax="47" xr10:uidLastSave="{00000000-0000-0000-0000-000000000000}"/>
  <bookViews>
    <workbookView xWindow="-120" yWindow="-120" windowWidth="29040" windowHeight="15720" tabRatio="697" activeTab="5" xr2:uid="{303101CD-9F02-4754-A7D9-AC40BE0A65F6}"/>
  </bookViews>
  <sheets>
    <sheet name="Instructions" sheetId="22" r:id="rId1"/>
    <sheet name="Rates from Tracker" sheetId="18" r:id="rId2"/>
    <sheet name="Food Truck Sales - To Date" sheetId="21" state="hidden" r:id="rId3"/>
    <sheet name="Calculations" sheetId="13" r:id="rId4"/>
    <sheet name="Summary" sheetId="5" r:id="rId5"/>
    <sheet name="Sheet1" sheetId="25" r:id="rId6"/>
    <sheet name="Debit Memo Info" sheetId="19" r:id="rId7"/>
    <sheet name="AR Invoice Import" sheetId="7" state="hidden" r:id="rId8"/>
    <sheet name="AR Payment Import" sheetId="8" state="hidden" r:id="rId9"/>
    <sheet name="Average per store" sheetId="24" state="hidden" r:id="rId10"/>
    <sheet name="Wells Fargo Template" sheetId="20" state="hidden" r:id="rId11"/>
    <sheet name="Banking Info" sheetId="23" state="hidden" r:id="rId12"/>
    <sheet name="Tracker" sheetId="3" state="hidden" r:id="rId13"/>
  </sheets>
  <externalReferences>
    <externalReference r:id="rId14"/>
  </externalReferences>
  <definedNames>
    <definedName name="_xlnm._FilterDatabase" localSheetId="3" hidden="1">Calculations!$B$4:$M$590</definedName>
    <definedName name="_xlnm._FilterDatabase" localSheetId="1" hidden="1">'Rates from Tracker'!#REF!</definedName>
  </definedNames>
  <calcPr calcId="191029"/>
  <pivotCaches>
    <pivotCache cacheId="39" r:id="rId15"/>
  </pivotCache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9" i="13" l="1"/>
  <c r="I21" i="13"/>
  <c r="I37" i="13"/>
  <c r="H6" i="13"/>
  <c r="I6" i="13" s="1"/>
  <c r="H7" i="13"/>
  <c r="I7" i="13" s="1"/>
  <c r="H8" i="13"/>
  <c r="I8" i="13" s="1"/>
  <c r="H9" i="13"/>
  <c r="H10" i="13"/>
  <c r="I10" i="13" s="1"/>
  <c r="H11" i="13"/>
  <c r="I11" i="13" s="1"/>
  <c r="H12" i="13"/>
  <c r="I12" i="13" s="1"/>
  <c r="H13" i="13"/>
  <c r="I13" i="13" s="1"/>
  <c r="H14" i="13"/>
  <c r="I14" i="13" s="1"/>
  <c r="H15" i="13"/>
  <c r="I15" i="13" s="1"/>
  <c r="H16" i="13"/>
  <c r="I16" i="13" s="1"/>
  <c r="H17" i="13"/>
  <c r="I17" i="13" s="1"/>
  <c r="H18" i="13"/>
  <c r="I18" i="13" s="1"/>
  <c r="H19" i="13"/>
  <c r="I19" i="13" s="1"/>
  <c r="H20" i="13"/>
  <c r="I20" i="13" s="1"/>
  <c r="H21" i="13"/>
  <c r="H22" i="13"/>
  <c r="I22" i="13" s="1"/>
  <c r="H23" i="13"/>
  <c r="I23" i="13" s="1"/>
  <c r="H24" i="13"/>
  <c r="I24" i="13" s="1"/>
  <c r="H25" i="13"/>
  <c r="I25" i="13" s="1"/>
  <c r="H26" i="13"/>
  <c r="I26" i="13" s="1"/>
  <c r="H27" i="13"/>
  <c r="I27" i="13" s="1"/>
  <c r="H28" i="13"/>
  <c r="I28" i="13" s="1"/>
  <c r="H29" i="13"/>
  <c r="I29" i="13" s="1"/>
  <c r="H30" i="13"/>
  <c r="I30" i="13" s="1"/>
  <c r="H31" i="13"/>
  <c r="I31" i="13" s="1"/>
  <c r="H32" i="13"/>
  <c r="I32" i="13" s="1"/>
  <c r="H33" i="13"/>
  <c r="I33" i="13" s="1"/>
  <c r="H34" i="13"/>
  <c r="I34" i="13" s="1"/>
  <c r="H35" i="13"/>
  <c r="I35" i="13" s="1"/>
  <c r="H36" i="13"/>
  <c r="I36" i="13" s="1"/>
  <c r="H37" i="13"/>
  <c r="H38" i="13"/>
  <c r="I38" i="13" s="1"/>
  <c r="H39" i="13"/>
  <c r="I39" i="13" s="1"/>
  <c r="H40" i="13"/>
  <c r="I40" i="13" s="1"/>
  <c r="H41" i="13"/>
  <c r="I41" i="13" s="1"/>
  <c r="H42" i="13"/>
  <c r="I42" i="13" s="1"/>
  <c r="H43" i="13"/>
  <c r="I43" i="13" s="1"/>
  <c r="H44" i="13"/>
  <c r="I44" i="13" s="1"/>
  <c r="H45" i="13"/>
  <c r="I45" i="13" s="1"/>
  <c r="H46" i="13"/>
  <c r="I46" i="13" s="1"/>
  <c r="H47" i="13"/>
  <c r="I47" i="13" s="1"/>
  <c r="H48" i="13"/>
  <c r="I48" i="13" s="1"/>
  <c r="H49" i="13"/>
  <c r="I49" i="13" s="1"/>
  <c r="H50" i="13"/>
  <c r="I50" i="13" s="1"/>
  <c r="H51" i="13"/>
  <c r="I51" i="13" s="1"/>
  <c r="H52" i="13"/>
  <c r="I52" i="13" s="1"/>
  <c r="H53" i="13"/>
  <c r="I53" i="13" s="1"/>
  <c r="H54" i="13"/>
  <c r="I54" i="13" s="1"/>
  <c r="H55" i="13"/>
  <c r="I55" i="13" s="1"/>
  <c r="H56" i="13"/>
  <c r="I56" i="13" s="1"/>
  <c r="H57" i="13"/>
  <c r="I57" i="13" s="1"/>
  <c r="H58" i="13"/>
  <c r="I58" i="13" s="1"/>
  <c r="H59" i="13"/>
  <c r="I59" i="13" s="1"/>
  <c r="H60" i="13"/>
  <c r="I60" i="13" s="1"/>
  <c r="H61" i="13"/>
  <c r="I61" i="13" s="1"/>
  <c r="H62" i="13"/>
  <c r="I62" i="13" s="1"/>
  <c r="H63" i="13"/>
  <c r="I63" i="13" s="1"/>
  <c r="H64" i="13"/>
  <c r="I64" i="13" s="1"/>
  <c r="H65" i="13"/>
  <c r="I65" i="13" s="1"/>
  <c r="H66" i="13"/>
  <c r="I66" i="13" s="1"/>
  <c r="H67" i="13"/>
  <c r="I67" i="13" s="1"/>
  <c r="H68" i="13"/>
  <c r="I68" i="13" s="1"/>
  <c r="H69" i="13"/>
  <c r="I69" i="13" s="1"/>
  <c r="H70" i="13"/>
  <c r="I70" i="13" s="1"/>
  <c r="H71" i="13"/>
  <c r="I71" i="13" s="1"/>
  <c r="H72" i="13"/>
  <c r="I72" i="13" s="1"/>
  <c r="H73" i="13"/>
  <c r="I73" i="13" s="1"/>
  <c r="H74" i="13"/>
  <c r="I74" i="13" s="1"/>
  <c r="H75" i="13"/>
  <c r="I75" i="13" s="1"/>
  <c r="H76" i="13"/>
  <c r="I76" i="13" s="1"/>
  <c r="H77" i="13"/>
  <c r="I77" i="13" s="1"/>
  <c r="H78" i="13"/>
  <c r="I78" i="13" s="1"/>
  <c r="H79" i="13"/>
  <c r="I79" i="13" s="1"/>
  <c r="H80" i="13"/>
  <c r="I80" i="13" s="1"/>
  <c r="H81" i="13"/>
  <c r="I81" i="13" s="1"/>
  <c r="H82" i="13"/>
  <c r="I82" i="13" s="1"/>
  <c r="H83" i="13"/>
  <c r="I83" i="13" s="1"/>
  <c r="H84" i="13"/>
  <c r="I84" i="13" s="1"/>
  <c r="H85" i="13"/>
  <c r="I85" i="13" s="1"/>
  <c r="H86" i="13"/>
  <c r="I86" i="13" s="1"/>
  <c r="H87" i="13"/>
  <c r="I87" i="13" s="1"/>
  <c r="H88" i="13"/>
  <c r="I88" i="13" s="1"/>
  <c r="H89" i="13"/>
  <c r="I89" i="13" s="1"/>
  <c r="H90" i="13"/>
  <c r="I90" i="13" s="1"/>
  <c r="H91" i="13"/>
  <c r="I91" i="13" s="1"/>
  <c r="H92" i="13"/>
  <c r="I92" i="13" s="1"/>
  <c r="H93" i="13"/>
  <c r="I93" i="13" s="1"/>
  <c r="H94" i="13"/>
  <c r="I94" i="13" s="1"/>
  <c r="H95" i="13"/>
  <c r="I95" i="13" s="1"/>
  <c r="H96" i="13"/>
  <c r="I96" i="13" s="1"/>
  <c r="H97" i="13"/>
  <c r="I97" i="13" s="1"/>
  <c r="H98" i="13"/>
  <c r="I98" i="13" s="1"/>
  <c r="H99" i="13"/>
  <c r="I99" i="13" s="1"/>
  <c r="H100" i="13"/>
  <c r="I100" i="13" s="1"/>
  <c r="H101" i="13"/>
  <c r="I101" i="13" s="1"/>
  <c r="H102" i="13"/>
  <c r="I102" i="13" s="1"/>
  <c r="H103" i="13"/>
  <c r="I103" i="13" s="1"/>
  <c r="H104" i="13"/>
  <c r="I104" i="13" s="1"/>
  <c r="H105" i="13"/>
  <c r="I105" i="13" s="1"/>
  <c r="H106" i="13"/>
  <c r="I106" i="13" s="1"/>
  <c r="H107" i="13"/>
  <c r="I107" i="13" s="1"/>
  <c r="H108" i="13"/>
  <c r="I108" i="13" s="1"/>
  <c r="H109" i="13"/>
  <c r="I109" i="13" s="1"/>
  <c r="H110" i="13"/>
  <c r="I110" i="13" s="1"/>
  <c r="H111" i="13"/>
  <c r="I111" i="13" s="1"/>
  <c r="H112" i="13"/>
  <c r="I112" i="13" s="1"/>
  <c r="H113" i="13"/>
  <c r="I113" i="13" s="1"/>
  <c r="H114" i="13"/>
  <c r="I114" i="13" s="1"/>
  <c r="H115" i="13"/>
  <c r="I115" i="13" s="1"/>
  <c r="H116" i="13"/>
  <c r="I116" i="13" s="1"/>
  <c r="H117" i="13"/>
  <c r="I117" i="13" s="1"/>
  <c r="H118" i="13"/>
  <c r="I118" i="13" s="1"/>
  <c r="H119" i="13"/>
  <c r="I119" i="13" s="1"/>
  <c r="H120" i="13"/>
  <c r="I120" i="13" s="1"/>
  <c r="H121" i="13"/>
  <c r="I121" i="13" s="1"/>
  <c r="H122" i="13"/>
  <c r="I122" i="13" s="1"/>
  <c r="H123" i="13"/>
  <c r="I123" i="13" s="1"/>
  <c r="H124" i="13"/>
  <c r="I124" i="13" s="1"/>
  <c r="H125" i="13"/>
  <c r="I125" i="13" s="1"/>
  <c r="H126" i="13"/>
  <c r="I126" i="13" s="1"/>
  <c r="H127" i="13"/>
  <c r="I127" i="13" s="1"/>
  <c r="H128" i="13"/>
  <c r="I128" i="13" s="1"/>
  <c r="H129" i="13"/>
  <c r="I129" i="13" s="1"/>
  <c r="H130" i="13"/>
  <c r="I130" i="13" s="1"/>
  <c r="H131" i="13"/>
  <c r="I131" i="13" s="1"/>
  <c r="H132" i="13"/>
  <c r="I132" i="13" s="1"/>
  <c r="H133" i="13"/>
  <c r="I133" i="13" s="1"/>
  <c r="H134" i="13"/>
  <c r="I134" i="13" s="1"/>
  <c r="H135" i="13"/>
  <c r="I135" i="13" s="1"/>
  <c r="H136" i="13"/>
  <c r="I136" i="13" s="1"/>
  <c r="H137" i="13"/>
  <c r="I137" i="13" s="1"/>
  <c r="H138" i="13"/>
  <c r="I138" i="13" s="1"/>
  <c r="H139" i="13"/>
  <c r="I139" i="13" s="1"/>
  <c r="H140" i="13"/>
  <c r="I140" i="13" s="1"/>
  <c r="H141" i="13"/>
  <c r="I141" i="13" s="1"/>
  <c r="H142" i="13"/>
  <c r="I142" i="13" s="1"/>
  <c r="H143" i="13"/>
  <c r="I143" i="13" s="1"/>
  <c r="H144" i="13"/>
  <c r="I144" i="13" s="1"/>
  <c r="H145" i="13"/>
  <c r="I145" i="13" s="1"/>
  <c r="H146" i="13"/>
  <c r="I146" i="13" s="1"/>
  <c r="H147" i="13"/>
  <c r="I147" i="13" s="1"/>
  <c r="H148" i="13"/>
  <c r="I148" i="13" s="1"/>
  <c r="H149" i="13"/>
  <c r="I149" i="13" s="1"/>
  <c r="H150" i="13"/>
  <c r="I150" i="13" s="1"/>
  <c r="H151" i="13"/>
  <c r="I151" i="13" s="1"/>
  <c r="H152" i="13"/>
  <c r="I152" i="13" s="1"/>
  <c r="H153" i="13"/>
  <c r="I153" i="13" s="1"/>
  <c r="H154" i="13"/>
  <c r="I154" i="13" s="1"/>
  <c r="H155" i="13"/>
  <c r="I155" i="13" s="1"/>
  <c r="H156" i="13"/>
  <c r="I156" i="13" s="1"/>
  <c r="H157" i="13"/>
  <c r="I157" i="13" s="1"/>
  <c r="H158" i="13"/>
  <c r="I158" i="13" s="1"/>
  <c r="H159" i="13"/>
  <c r="I159" i="13" s="1"/>
  <c r="H160" i="13"/>
  <c r="I160" i="13" s="1"/>
  <c r="H161" i="13"/>
  <c r="I161" i="13" s="1"/>
  <c r="H162" i="13"/>
  <c r="I162" i="13" s="1"/>
  <c r="H163" i="13"/>
  <c r="I163" i="13" s="1"/>
  <c r="H164" i="13"/>
  <c r="I164" i="13" s="1"/>
  <c r="H165" i="13"/>
  <c r="I165" i="13" s="1"/>
  <c r="H166" i="13"/>
  <c r="I166" i="13" s="1"/>
  <c r="H167" i="13"/>
  <c r="I167" i="13" s="1"/>
  <c r="H168" i="13"/>
  <c r="I168" i="13" s="1"/>
  <c r="H169" i="13"/>
  <c r="I169" i="13" s="1"/>
  <c r="H170" i="13"/>
  <c r="I170" i="13" s="1"/>
  <c r="H171" i="13"/>
  <c r="I171" i="13" s="1"/>
  <c r="H172" i="13"/>
  <c r="I172" i="13" s="1"/>
  <c r="H173" i="13"/>
  <c r="I173" i="13" s="1"/>
  <c r="H174" i="13"/>
  <c r="I174" i="13" s="1"/>
  <c r="H175" i="13"/>
  <c r="I175" i="13" s="1"/>
  <c r="H176" i="13"/>
  <c r="I176" i="13" s="1"/>
  <c r="H177" i="13"/>
  <c r="I177" i="13" s="1"/>
  <c r="H178" i="13"/>
  <c r="I178" i="13" s="1"/>
  <c r="H179" i="13"/>
  <c r="I179" i="13" s="1"/>
  <c r="H180" i="13"/>
  <c r="I180" i="13" s="1"/>
  <c r="H181" i="13"/>
  <c r="I181" i="13" s="1"/>
  <c r="H182" i="13"/>
  <c r="I182" i="13" s="1"/>
  <c r="H183" i="13"/>
  <c r="I183" i="13" s="1"/>
  <c r="H184" i="13"/>
  <c r="I184" i="13" s="1"/>
  <c r="H185" i="13"/>
  <c r="I185" i="13" s="1"/>
  <c r="H186" i="13"/>
  <c r="I186" i="13" s="1"/>
  <c r="H187" i="13"/>
  <c r="I187" i="13" s="1"/>
  <c r="H188" i="13"/>
  <c r="I188" i="13" s="1"/>
  <c r="H189" i="13"/>
  <c r="I189" i="13" s="1"/>
  <c r="H190" i="13"/>
  <c r="I190" i="13" s="1"/>
  <c r="H191" i="13"/>
  <c r="I191" i="13" s="1"/>
  <c r="H192" i="13"/>
  <c r="I192" i="13" s="1"/>
  <c r="H193" i="13"/>
  <c r="I193" i="13" s="1"/>
  <c r="H194" i="13"/>
  <c r="I194" i="13" s="1"/>
  <c r="H195" i="13"/>
  <c r="I195" i="13" s="1"/>
  <c r="H196" i="13"/>
  <c r="I196" i="13" s="1"/>
  <c r="H197" i="13"/>
  <c r="I197" i="13" s="1"/>
  <c r="H198" i="13"/>
  <c r="I198" i="13" s="1"/>
  <c r="H199" i="13"/>
  <c r="I199" i="13" s="1"/>
  <c r="H200" i="13"/>
  <c r="I200" i="13" s="1"/>
  <c r="H201" i="13"/>
  <c r="I201" i="13" s="1"/>
  <c r="H202" i="13"/>
  <c r="I202" i="13" s="1"/>
  <c r="H203" i="13"/>
  <c r="I203" i="13" s="1"/>
  <c r="H204" i="13"/>
  <c r="I204" i="13" s="1"/>
  <c r="H205" i="13"/>
  <c r="I205" i="13" s="1"/>
  <c r="H206" i="13"/>
  <c r="I206" i="13" s="1"/>
  <c r="H207" i="13"/>
  <c r="I207" i="13" s="1"/>
  <c r="H208" i="13"/>
  <c r="I208" i="13" s="1"/>
  <c r="H209" i="13"/>
  <c r="I209" i="13" s="1"/>
  <c r="H210" i="13"/>
  <c r="I210" i="13" s="1"/>
  <c r="H211" i="13"/>
  <c r="I211" i="13" s="1"/>
  <c r="H212" i="13"/>
  <c r="I212" i="13" s="1"/>
  <c r="H213" i="13"/>
  <c r="I213" i="13" s="1"/>
  <c r="H214" i="13"/>
  <c r="I214" i="13" s="1"/>
  <c r="H215" i="13"/>
  <c r="I215" i="13" s="1"/>
  <c r="H216" i="13"/>
  <c r="I216" i="13" s="1"/>
  <c r="H217" i="13"/>
  <c r="I217" i="13" s="1"/>
  <c r="H218" i="13"/>
  <c r="I218" i="13" s="1"/>
  <c r="H219" i="13"/>
  <c r="I219" i="13" s="1"/>
  <c r="H220" i="13"/>
  <c r="I220" i="13" s="1"/>
  <c r="H221" i="13"/>
  <c r="I221" i="13" s="1"/>
  <c r="H222" i="13"/>
  <c r="I222" i="13" s="1"/>
  <c r="H223" i="13"/>
  <c r="I223" i="13" s="1"/>
  <c r="H224" i="13"/>
  <c r="I224" i="13" s="1"/>
  <c r="H225" i="13"/>
  <c r="I225" i="13" s="1"/>
  <c r="H226" i="13"/>
  <c r="I226" i="13" s="1"/>
  <c r="H227" i="13"/>
  <c r="I227" i="13" s="1"/>
  <c r="H228" i="13"/>
  <c r="I228" i="13" s="1"/>
  <c r="H229" i="13"/>
  <c r="I229" i="13" s="1"/>
  <c r="H230" i="13"/>
  <c r="I230" i="13" s="1"/>
  <c r="H231" i="13"/>
  <c r="I231" i="13" s="1"/>
  <c r="H232" i="13"/>
  <c r="I232" i="13" s="1"/>
  <c r="H233" i="13"/>
  <c r="I233" i="13" s="1"/>
  <c r="H234" i="13"/>
  <c r="I234" i="13" s="1"/>
  <c r="H235" i="13"/>
  <c r="I235" i="13" s="1"/>
  <c r="H236" i="13"/>
  <c r="I236" i="13" s="1"/>
  <c r="H237" i="13"/>
  <c r="I237" i="13" s="1"/>
  <c r="H238" i="13"/>
  <c r="I238" i="13" s="1"/>
  <c r="H239" i="13"/>
  <c r="I239" i="13" s="1"/>
  <c r="H240" i="13"/>
  <c r="I240" i="13" s="1"/>
  <c r="H241" i="13"/>
  <c r="I241" i="13" s="1"/>
  <c r="H242" i="13"/>
  <c r="I242" i="13" s="1"/>
  <c r="H243" i="13"/>
  <c r="I243" i="13" s="1"/>
  <c r="H244" i="13"/>
  <c r="I244" i="13" s="1"/>
  <c r="H245" i="13"/>
  <c r="I245" i="13" s="1"/>
  <c r="H246" i="13"/>
  <c r="I246" i="13" s="1"/>
  <c r="H247" i="13"/>
  <c r="I247" i="13" s="1"/>
  <c r="H248" i="13"/>
  <c r="I248" i="13" s="1"/>
  <c r="H249" i="13"/>
  <c r="I249" i="13" s="1"/>
  <c r="H250" i="13"/>
  <c r="I250" i="13" s="1"/>
  <c r="H251" i="13"/>
  <c r="I251" i="13" s="1"/>
  <c r="H252" i="13"/>
  <c r="I252" i="13" s="1"/>
  <c r="H253" i="13"/>
  <c r="I253" i="13" s="1"/>
  <c r="H254" i="13"/>
  <c r="I254" i="13" s="1"/>
  <c r="H255" i="13"/>
  <c r="I255" i="13" s="1"/>
  <c r="H256" i="13"/>
  <c r="I256" i="13" s="1"/>
  <c r="H257" i="13"/>
  <c r="I257" i="13" s="1"/>
  <c r="H258" i="13"/>
  <c r="I258" i="13" s="1"/>
  <c r="H259" i="13"/>
  <c r="I259" i="13" s="1"/>
  <c r="H260" i="13"/>
  <c r="I260" i="13" s="1"/>
  <c r="H261" i="13"/>
  <c r="I261" i="13" s="1"/>
  <c r="H262" i="13"/>
  <c r="I262" i="13" s="1"/>
  <c r="H263" i="13"/>
  <c r="I263" i="13" s="1"/>
  <c r="H264" i="13"/>
  <c r="I264" i="13" s="1"/>
  <c r="H265" i="13"/>
  <c r="I265" i="13" s="1"/>
  <c r="H266" i="13"/>
  <c r="I266" i="13" s="1"/>
  <c r="H267" i="13"/>
  <c r="I267" i="13" s="1"/>
  <c r="H268" i="13"/>
  <c r="I268" i="13" s="1"/>
  <c r="H269" i="13"/>
  <c r="I269" i="13" s="1"/>
  <c r="H270" i="13"/>
  <c r="I270" i="13" s="1"/>
  <c r="H271" i="13"/>
  <c r="I271" i="13" s="1"/>
  <c r="H272" i="13"/>
  <c r="I272" i="13" s="1"/>
  <c r="H273" i="13"/>
  <c r="I273" i="13" s="1"/>
  <c r="H274" i="13"/>
  <c r="I274" i="13" s="1"/>
  <c r="H275" i="13"/>
  <c r="I275" i="13" s="1"/>
  <c r="H276" i="13"/>
  <c r="I276" i="13" s="1"/>
  <c r="H277" i="13"/>
  <c r="I277" i="13" s="1"/>
  <c r="H278" i="13"/>
  <c r="I278" i="13" s="1"/>
  <c r="H279" i="13"/>
  <c r="I279" i="13" s="1"/>
  <c r="H280" i="13"/>
  <c r="I280" i="13" s="1"/>
  <c r="H281" i="13"/>
  <c r="I281" i="13" s="1"/>
  <c r="H282" i="13"/>
  <c r="I282" i="13" s="1"/>
  <c r="H283" i="13"/>
  <c r="I283" i="13" s="1"/>
  <c r="H284" i="13"/>
  <c r="I284" i="13" s="1"/>
  <c r="H285" i="13"/>
  <c r="I285" i="13" s="1"/>
  <c r="H286" i="13"/>
  <c r="I286" i="13" s="1"/>
  <c r="H287" i="13"/>
  <c r="I287" i="13" s="1"/>
  <c r="H288" i="13"/>
  <c r="I288" i="13" s="1"/>
  <c r="H289" i="13"/>
  <c r="I289" i="13" s="1"/>
  <c r="H290" i="13"/>
  <c r="I290" i="13" s="1"/>
  <c r="H291" i="13"/>
  <c r="I291" i="13" s="1"/>
  <c r="H292" i="13"/>
  <c r="I292" i="13" s="1"/>
  <c r="H293" i="13"/>
  <c r="I293" i="13" s="1"/>
  <c r="H294" i="13"/>
  <c r="I294" i="13" s="1"/>
  <c r="H295" i="13"/>
  <c r="I295" i="13" s="1"/>
  <c r="H296" i="13"/>
  <c r="I296" i="13" s="1"/>
  <c r="H297" i="13"/>
  <c r="I297" i="13" s="1"/>
  <c r="H298" i="13"/>
  <c r="I298" i="13" s="1"/>
  <c r="H299" i="13"/>
  <c r="I299" i="13" s="1"/>
  <c r="H300" i="13"/>
  <c r="I300" i="13" s="1"/>
  <c r="H301" i="13"/>
  <c r="I301" i="13" s="1"/>
  <c r="H302" i="13"/>
  <c r="I302" i="13" s="1"/>
  <c r="H303" i="13"/>
  <c r="I303" i="13" s="1"/>
  <c r="H304" i="13"/>
  <c r="I304" i="13" s="1"/>
  <c r="H305" i="13"/>
  <c r="I305" i="13" s="1"/>
  <c r="H306" i="13"/>
  <c r="I306" i="13" s="1"/>
  <c r="H307" i="13"/>
  <c r="I307" i="13" s="1"/>
  <c r="H308" i="13"/>
  <c r="I308" i="13" s="1"/>
  <c r="H309" i="13"/>
  <c r="I309" i="13" s="1"/>
  <c r="H310" i="13"/>
  <c r="I310" i="13" s="1"/>
  <c r="H311" i="13"/>
  <c r="I311" i="13" s="1"/>
  <c r="H312" i="13"/>
  <c r="I312" i="13" s="1"/>
  <c r="H313" i="13"/>
  <c r="I313" i="13" s="1"/>
  <c r="H314" i="13"/>
  <c r="I314" i="13" s="1"/>
  <c r="H315" i="13"/>
  <c r="I315" i="13" s="1"/>
  <c r="H316" i="13"/>
  <c r="I316" i="13" s="1"/>
  <c r="H317" i="13"/>
  <c r="I317" i="13" s="1"/>
  <c r="H318" i="13"/>
  <c r="I318" i="13" s="1"/>
  <c r="H319" i="13"/>
  <c r="I319" i="13" s="1"/>
  <c r="H320" i="13"/>
  <c r="I320" i="13" s="1"/>
  <c r="H321" i="13"/>
  <c r="I321" i="13" s="1"/>
  <c r="H322" i="13"/>
  <c r="I322" i="13" s="1"/>
  <c r="H323" i="13"/>
  <c r="I323" i="13" s="1"/>
  <c r="H324" i="13"/>
  <c r="I324" i="13" s="1"/>
  <c r="H325" i="13"/>
  <c r="I325" i="13" s="1"/>
  <c r="H326" i="13"/>
  <c r="I326" i="13" s="1"/>
  <c r="H327" i="13"/>
  <c r="I327" i="13" s="1"/>
  <c r="H328" i="13"/>
  <c r="I328" i="13" s="1"/>
  <c r="H329" i="13"/>
  <c r="I329" i="13" s="1"/>
  <c r="H330" i="13"/>
  <c r="I330" i="13" s="1"/>
  <c r="H331" i="13"/>
  <c r="I331" i="13" s="1"/>
  <c r="H332" i="13"/>
  <c r="I332" i="13" s="1"/>
  <c r="H333" i="13"/>
  <c r="I333" i="13" s="1"/>
  <c r="H334" i="13"/>
  <c r="I334" i="13" s="1"/>
  <c r="H335" i="13"/>
  <c r="I335" i="13" s="1"/>
  <c r="H336" i="13"/>
  <c r="I336" i="13" s="1"/>
  <c r="H337" i="13"/>
  <c r="I337" i="13" s="1"/>
  <c r="H338" i="13"/>
  <c r="I338" i="13" s="1"/>
  <c r="H339" i="13"/>
  <c r="I339" i="13" s="1"/>
  <c r="H340" i="13"/>
  <c r="I340" i="13" s="1"/>
  <c r="H341" i="13"/>
  <c r="I341" i="13" s="1"/>
  <c r="H342" i="13"/>
  <c r="I342" i="13" s="1"/>
  <c r="H343" i="13"/>
  <c r="I343" i="13" s="1"/>
  <c r="H344" i="13"/>
  <c r="I344" i="13" s="1"/>
  <c r="H345" i="13"/>
  <c r="I345" i="13" s="1"/>
  <c r="H346" i="13"/>
  <c r="I346" i="13" s="1"/>
  <c r="H347" i="13"/>
  <c r="I347" i="13" s="1"/>
  <c r="H348" i="13"/>
  <c r="I348" i="13" s="1"/>
  <c r="H349" i="13"/>
  <c r="I349" i="13" s="1"/>
  <c r="H350" i="13"/>
  <c r="I350" i="13" s="1"/>
  <c r="H351" i="13"/>
  <c r="I351" i="13" s="1"/>
  <c r="H352" i="13"/>
  <c r="I352" i="13" s="1"/>
  <c r="H353" i="13"/>
  <c r="I353" i="13" s="1"/>
  <c r="H354" i="13"/>
  <c r="I354" i="13" s="1"/>
  <c r="H355" i="13"/>
  <c r="I355" i="13" s="1"/>
  <c r="H356" i="13"/>
  <c r="I356" i="13" s="1"/>
  <c r="H357" i="13"/>
  <c r="I357" i="13" s="1"/>
  <c r="H358" i="13"/>
  <c r="I358" i="13" s="1"/>
  <c r="H359" i="13"/>
  <c r="I359" i="13" s="1"/>
  <c r="H360" i="13"/>
  <c r="I360" i="13" s="1"/>
  <c r="H361" i="13"/>
  <c r="I361" i="13" s="1"/>
  <c r="H362" i="13"/>
  <c r="I362" i="13" s="1"/>
  <c r="H363" i="13"/>
  <c r="I363" i="13" s="1"/>
  <c r="H364" i="13"/>
  <c r="I364" i="13" s="1"/>
  <c r="H365" i="13"/>
  <c r="I365" i="13" s="1"/>
  <c r="H366" i="13"/>
  <c r="I366" i="13" s="1"/>
  <c r="H367" i="13"/>
  <c r="I367" i="13" s="1"/>
  <c r="H368" i="13"/>
  <c r="I368" i="13" s="1"/>
  <c r="H369" i="13"/>
  <c r="I369" i="13" s="1"/>
  <c r="H370" i="13"/>
  <c r="I370" i="13" s="1"/>
  <c r="H371" i="13"/>
  <c r="I371" i="13" s="1"/>
  <c r="H372" i="13"/>
  <c r="I372" i="13" s="1"/>
  <c r="H373" i="13"/>
  <c r="I373" i="13" s="1"/>
  <c r="H374" i="13"/>
  <c r="I374" i="13" s="1"/>
  <c r="H375" i="13"/>
  <c r="I375" i="13" s="1"/>
  <c r="H376" i="13"/>
  <c r="I376" i="13" s="1"/>
  <c r="H377" i="13"/>
  <c r="I377" i="13" s="1"/>
  <c r="H378" i="13"/>
  <c r="I378" i="13" s="1"/>
  <c r="H379" i="13"/>
  <c r="I379" i="13" s="1"/>
  <c r="H380" i="13"/>
  <c r="I380" i="13" s="1"/>
  <c r="H381" i="13"/>
  <c r="I381" i="13" s="1"/>
  <c r="H382" i="13"/>
  <c r="I382" i="13" s="1"/>
  <c r="H383" i="13"/>
  <c r="I383" i="13" s="1"/>
  <c r="H384" i="13"/>
  <c r="I384" i="13" s="1"/>
  <c r="H385" i="13"/>
  <c r="I385" i="13" s="1"/>
  <c r="H386" i="13"/>
  <c r="I386" i="13" s="1"/>
  <c r="H387" i="13"/>
  <c r="I387" i="13" s="1"/>
  <c r="H388" i="13"/>
  <c r="I388" i="13" s="1"/>
  <c r="H389" i="13"/>
  <c r="I389" i="13" s="1"/>
  <c r="H390" i="13"/>
  <c r="I390" i="13" s="1"/>
  <c r="H391" i="13"/>
  <c r="I391" i="13" s="1"/>
  <c r="H392" i="13"/>
  <c r="I392" i="13" s="1"/>
  <c r="H393" i="13"/>
  <c r="I393" i="13" s="1"/>
  <c r="H394" i="13"/>
  <c r="I394" i="13" s="1"/>
  <c r="H395" i="13"/>
  <c r="I395" i="13" s="1"/>
  <c r="H396" i="13"/>
  <c r="I396" i="13" s="1"/>
  <c r="H397" i="13"/>
  <c r="I397" i="13" s="1"/>
  <c r="H398" i="13"/>
  <c r="I398" i="13" s="1"/>
  <c r="H399" i="13"/>
  <c r="I399" i="13" s="1"/>
  <c r="H400" i="13"/>
  <c r="I400" i="13" s="1"/>
  <c r="H401" i="13"/>
  <c r="I401" i="13" s="1"/>
  <c r="H402" i="13"/>
  <c r="I402" i="13" s="1"/>
  <c r="H403" i="13"/>
  <c r="I403" i="13" s="1"/>
  <c r="H404" i="13"/>
  <c r="I404" i="13" s="1"/>
  <c r="H405" i="13"/>
  <c r="I405" i="13" s="1"/>
  <c r="H406" i="13"/>
  <c r="I406" i="13" s="1"/>
  <c r="H407" i="13"/>
  <c r="I407" i="13" s="1"/>
  <c r="H408" i="13"/>
  <c r="I408" i="13" s="1"/>
  <c r="H409" i="13"/>
  <c r="I409" i="13" s="1"/>
  <c r="H410" i="13"/>
  <c r="I410" i="13" s="1"/>
  <c r="H411" i="13"/>
  <c r="I411" i="13" s="1"/>
  <c r="H412" i="13"/>
  <c r="I412" i="13" s="1"/>
  <c r="H413" i="13"/>
  <c r="I413" i="13" s="1"/>
  <c r="H414" i="13"/>
  <c r="I414" i="13" s="1"/>
  <c r="H415" i="13"/>
  <c r="I415" i="13" s="1"/>
  <c r="H416" i="13"/>
  <c r="I416" i="13" s="1"/>
  <c r="H417" i="13"/>
  <c r="I417" i="13" s="1"/>
  <c r="H418" i="13"/>
  <c r="I418" i="13" s="1"/>
  <c r="H419" i="13"/>
  <c r="I419" i="13" s="1"/>
  <c r="H420" i="13"/>
  <c r="I420" i="13" s="1"/>
  <c r="H421" i="13"/>
  <c r="I421" i="13" s="1"/>
  <c r="H422" i="13"/>
  <c r="I422" i="13" s="1"/>
  <c r="H423" i="13"/>
  <c r="I423" i="13" s="1"/>
  <c r="H424" i="13"/>
  <c r="I424" i="13" s="1"/>
  <c r="H425" i="13"/>
  <c r="I425" i="13" s="1"/>
  <c r="H426" i="13"/>
  <c r="I426" i="13" s="1"/>
  <c r="H427" i="13"/>
  <c r="I427" i="13" s="1"/>
  <c r="H428" i="13"/>
  <c r="I428" i="13" s="1"/>
  <c r="H429" i="13"/>
  <c r="I429" i="13" s="1"/>
  <c r="H430" i="13"/>
  <c r="I430" i="13" s="1"/>
  <c r="H431" i="13"/>
  <c r="I431" i="13" s="1"/>
  <c r="H432" i="13"/>
  <c r="I432" i="13" s="1"/>
  <c r="H433" i="13"/>
  <c r="I433" i="13" s="1"/>
  <c r="H434" i="13"/>
  <c r="I434" i="13" s="1"/>
  <c r="H435" i="13"/>
  <c r="I435" i="13" s="1"/>
  <c r="H436" i="13"/>
  <c r="I436" i="13" s="1"/>
  <c r="H437" i="13"/>
  <c r="I437" i="13" s="1"/>
  <c r="H438" i="13"/>
  <c r="I438" i="13" s="1"/>
  <c r="H439" i="13"/>
  <c r="I439" i="13" s="1"/>
  <c r="H440" i="13"/>
  <c r="I440" i="13" s="1"/>
  <c r="H441" i="13"/>
  <c r="I441" i="13" s="1"/>
  <c r="H442" i="13"/>
  <c r="I442" i="13" s="1"/>
  <c r="H443" i="13"/>
  <c r="I443" i="13" s="1"/>
  <c r="H444" i="13"/>
  <c r="I444" i="13" s="1"/>
  <c r="H445" i="13"/>
  <c r="I445" i="13" s="1"/>
  <c r="H446" i="13"/>
  <c r="I446" i="13" s="1"/>
  <c r="H447" i="13"/>
  <c r="I447" i="13" s="1"/>
  <c r="H448" i="13"/>
  <c r="I448" i="13" s="1"/>
  <c r="H449" i="13"/>
  <c r="I449" i="13" s="1"/>
  <c r="H450" i="13"/>
  <c r="I450" i="13" s="1"/>
  <c r="H451" i="13"/>
  <c r="I451" i="13" s="1"/>
  <c r="H452" i="13"/>
  <c r="I452" i="13" s="1"/>
  <c r="H453" i="13"/>
  <c r="I453" i="13" s="1"/>
  <c r="H454" i="13"/>
  <c r="I454" i="13" s="1"/>
  <c r="H455" i="13"/>
  <c r="I455" i="13" s="1"/>
  <c r="H456" i="13"/>
  <c r="I456" i="13" s="1"/>
  <c r="H457" i="13"/>
  <c r="I457" i="13" s="1"/>
  <c r="H458" i="13"/>
  <c r="I458" i="13" s="1"/>
  <c r="H459" i="13"/>
  <c r="I459" i="13" s="1"/>
  <c r="H460" i="13"/>
  <c r="I460" i="13" s="1"/>
  <c r="H461" i="13"/>
  <c r="I461" i="13" s="1"/>
  <c r="H462" i="13"/>
  <c r="I462" i="13" s="1"/>
  <c r="H463" i="13"/>
  <c r="I463" i="13" s="1"/>
  <c r="H464" i="13"/>
  <c r="I464" i="13" s="1"/>
  <c r="H465" i="13"/>
  <c r="I465" i="13" s="1"/>
  <c r="H466" i="13"/>
  <c r="I466" i="13" s="1"/>
  <c r="H467" i="13"/>
  <c r="I467" i="13" s="1"/>
  <c r="H468" i="13"/>
  <c r="I468" i="13" s="1"/>
  <c r="H469" i="13"/>
  <c r="I469" i="13" s="1"/>
  <c r="H470" i="13"/>
  <c r="I470" i="13" s="1"/>
  <c r="H471" i="13"/>
  <c r="I471" i="13" s="1"/>
  <c r="H472" i="13"/>
  <c r="I472" i="13" s="1"/>
  <c r="H473" i="13"/>
  <c r="I473" i="13" s="1"/>
  <c r="H474" i="13"/>
  <c r="I474" i="13" s="1"/>
  <c r="H475" i="13"/>
  <c r="I475" i="13" s="1"/>
  <c r="H476" i="13"/>
  <c r="I476" i="13" s="1"/>
  <c r="H477" i="13"/>
  <c r="I477" i="13" s="1"/>
  <c r="H478" i="13"/>
  <c r="I478" i="13" s="1"/>
  <c r="H479" i="13"/>
  <c r="I479" i="13" s="1"/>
  <c r="H480" i="13"/>
  <c r="I480" i="13" s="1"/>
  <c r="H481" i="13"/>
  <c r="I481" i="13" s="1"/>
  <c r="H482" i="13"/>
  <c r="I482" i="13" s="1"/>
  <c r="H483" i="13"/>
  <c r="I483" i="13" s="1"/>
  <c r="H484" i="13"/>
  <c r="I484" i="13" s="1"/>
  <c r="H485" i="13"/>
  <c r="I485" i="13" s="1"/>
  <c r="H486" i="13"/>
  <c r="I486" i="13" s="1"/>
  <c r="H487" i="13"/>
  <c r="I487" i="13" s="1"/>
  <c r="H488" i="13"/>
  <c r="I488" i="13" s="1"/>
  <c r="H489" i="13"/>
  <c r="I489" i="13" s="1"/>
  <c r="H490" i="13"/>
  <c r="I490" i="13" s="1"/>
  <c r="H491" i="13"/>
  <c r="I491" i="13" s="1"/>
  <c r="H492" i="13"/>
  <c r="I492" i="13" s="1"/>
  <c r="H493" i="13"/>
  <c r="I493" i="13" s="1"/>
  <c r="H494" i="13"/>
  <c r="I494" i="13" s="1"/>
  <c r="H495" i="13"/>
  <c r="I495" i="13" s="1"/>
  <c r="H496" i="13"/>
  <c r="I496" i="13" s="1"/>
  <c r="H497" i="13"/>
  <c r="I497" i="13" s="1"/>
  <c r="H498" i="13"/>
  <c r="I498" i="13" s="1"/>
  <c r="H499" i="13"/>
  <c r="I499" i="13" s="1"/>
  <c r="H500" i="13"/>
  <c r="I500" i="13" s="1"/>
  <c r="H501" i="13"/>
  <c r="I501" i="13" s="1"/>
  <c r="H502" i="13"/>
  <c r="I502" i="13" s="1"/>
  <c r="H503" i="13"/>
  <c r="I503" i="13" s="1"/>
  <c r="H504" i="13"/>
  <c r="I504" i="13" s="1"/>
  <c r="H505" i="13"/>
  <c r="I505" i="13" s="1"/>
  <c r="H506" i="13"/>
  <c r="I506" i="13" s="1"/>
  <c r="H507" i="13"/>
  <c r="I507" i="13" s="1"/>
  <c r="H508" i="13"/>
  <c r="I508" i="13" s="1"/>
  <c r="H509" i="13"/>
  <c r="I509" i="13" s="1"/>
  <c r="H510" i="13"/>
  <c r="I510" i="13" s="1"/>
  <c r="H511" i="13"/>
  <c r="I511" i="13" s="1"/>
  <c r="H512" i="13"/>
  <c r="I512" i="13" s="1"/>
  <c r="H513" i="13"/>
  <c r="I513" i="13" s="1"/>
  <c r="H514" i="13"/>
  <c r="I514" i="13" s="1"/>
  <c r="H515" i="13"/>
  <c r="I515" i="13" s="1"/>
  <c r="H516" i="13"/>
  <c r="I516" i="13" s="1"/>
  <c r="H517" i="13"/>
  <c r="I517" i="13" s="1"/>
  <c r="H518" i="13"/>
  <c r="I518" i="13" s="1"/>
  <c r="H519" i="13"/>
  <c r="I519" i="13" s="1"/>
  <c r="H520" i="13"/>
  <c r="I520" i="13" s="1"/>
  <c r="H521" i="13"/>
  <c r="I521" i="13" s="1"/>
  <c r="H522" i="13"/>
  <c r="I522" i="13" s="1"/>
  <c r="H523" i="13"/>
  <c r="I523" i="13" s="1"/>
  <c r="H524" i="13"/>
  <c r="I524" i="13" s="1"/>
  <c r="H525" i="13"/>
  <c r="I525" i="13" s="1"/>
  <c r="H526" i="13"/>
  <c r="I526" i="13" s="1"/>
  <c r="H527" i="13"/>
  <c r="I527" i="13" s="1"/>
  <c r="H528" i="13"/>
  <c r="I528" i="13" s="1"/>
  <c r="H529" i="13"/>
  <c r="I529" i="13" s="1"/>
  <c r="H530" i="13"/>
  <c r="I530" i="13" s="1"/>
  <c r="H531" i="13"/>
  <c r="I531" i="13" s="1"/>
  <c r="H532" i="13"/>
  <c r="I532" i="13" s="1"/>
  <c r="H533" i="13"/>
  <c r="I533" i="13" s="1"/>
  <c r="H534" i="13"/>
  <c r="I534" i="13" s="1"/>
  <c r="H535" i="13"/>
  <c r="I535" i="13" s="1"/>
  <c r="H536" i="13"/>
  <c r="I536" i="13" s="1"/>
  <c r="H537" i="13"/>
  <c r="I537" i="13" s="1"/>
  <c r="H538" i="13"/>
  <c r="I538" i="13" s="1"/>
  <c r="H539" i="13"/>
  <c r="I539" i="13" s="1"/>
  <c r="H540" i="13"/>
  <c r="I540" i="13" s="1"/>
  <c r="H541" i="13"/>
  <c r="I541" i="13" s="1"/>
  <c r="H542" i="13"/>
  <c r="I542" i="13" s="1"/>
  <c r="H543" i="13"/>
  <c r="I543" i="13" s="1"/>
  <c r="H544" i="13"/>
  <c r="I544" i="13" s="1"/>
  <c r="H545" i="13"/>
  <c r="I545" i="13" s="1"/>
  <c r="H546" i="13"/>
  <c r="I546" i="13" s="1"/>
  <c r="H547" i="13"/>
  <c r="I547" i="13" s="1"/>
  <c r="H548" i="13"/>
  <c r="I548" i="13" s="1"/>
  <c r="H549" i="13"/>
  <c r="I549" i="13" s="1"/>
  <c r="H550" i="13"/>
  <c r="I550" i="13" s="1"/>
  <c r="H551" i="13"/>
  <c r="I551" i="13" s="1"/>
  <c r="H552" i="13"/>
  <c r="I552" i="13" s="1"/>
  <c r="H553" i="13"/>
  <c r="I553" i="13" s="1"/>
  <c r="H554" i="13"/>
  <c r="I554" i="13" s="1"/>
  <c r="H555" i="13"/>
  <c r="I555" i="13" s="1"/>
  <c r="H556" i="13"/>
  <c r="I556" i="13" s="1"/>
  <c r="H557" i="13"/>
  <c r="I557" i="13" s="1"/>
  <c r="H558" i="13"/>
  <c r="I558" i="13" s="1"/>
  <c r="H559" i="13"/>
  <c r="I559" i="13" s="1"/>
  <c r="H560" i="13"/>
  <c r="I560" i="13" s="1"/>
  <c r="H561" i="13"/>
  <c r="I561" i="13" s="1"/>
  <c r="H562" i="13"/>
  <c r="I562" i="13" s="1"/>
  <c r="H563" i="13"/>
  <c r="I563" i="13" s="1"/>
  <c r="H564" i="13"/>
  <c r="I564" i="13" s="1"/>
  <c r="H565" i="13"/>
  <c r="I565" i="13" s="1"/>
  <c r="H566" i="13"/>
  <c r="I566" i="13" s="1"/>
  <c r="H567" i="13"/>
  <c r="I567" i="13" s="1"/>
  <c r="H568" i="13"/>
  <c r="I568" i="13" s="1"/>
  <c r="H569" i="13"/>
  <c r="I569" i="13" s="1"/>
  <c r="H570" i="13"/>
  <c r="I570" i="13" s="1"/>
  <c r="H571" i="13"/>
  <c r="I571" i="13" s="1"/>
  <c r="H572" i="13"/>
  <c r="I572" i="13" s="1"/>
  <c r="H573" i="13"/>
  <c r="I573" i="13" s="1"/>
  <c r="H574" i="13"/>
  <c r="I574" i="13" s="1"/>
  <c r="H575" i="13"/>
  <c r="I575" i="13" s="1"/>
  <c r="H576" i="13"/>
  <c r="I576" i="13" s="1"/>
  <c r="H577" i="13"/>
  <c r="I577" i="13" s="1"/>
  <c r="H578" i="13"/>
  <c r="I578" i="13" s="1"/>
  <c r="H579" i="13"/>
  <c r="I579" i="13" s="1"/>
  <c r="H580" i="13"/>
  <c r="I580" i="13" s="1"/>
  <c r="H581" i="13"/>
  <c r="I581" i="13" s="1"/>
  <c r="H582" i="13"/>
  <c r="I582" i="13" s="1"/>
  <c r="H583" i="13"/>
  <c r="I583" i="13" s="1"/>
  <c r="H584" i="13"/>
  <c r="I584" i="13" s="1"/>
  <c r="H585" i="13"/>
  <c r="I585" i="13" s="1"/>
  <c r="H586" i="13"/>
  <c r="I586" i="13" s="1"/>
  <c r="H587" i="13"/>
  <c r="I587" i="13" s="1"/>
  <c r="H588" i="13"/>
  <c r="I588" i="13" s="1"/>
  <c r="H589" i="13"/>
  <c r="I589" i="13" s="1"/>
  <c r="H590" i="13"/>
  <c r="I590" i="13" s="1"/>
  <c r="G6" i="13"/>
  <c r="G7" i="13"/>
  <c r="K7" i="13" s="1"/>
  <c r="L7" i="13" s="1"/>
  <c r="G8" i="13"/>
  <c r="J8" i="13" s="1"/>
  <c r="G9" i="13"/>
  <c r="K9" i="13" s="1"/>
  <c r="L9" i="13" s="1"/>
  <c r="G10" i="13"/>
  <c r="G11" i="13"/>
  <c r="K11" i="13" s="1"/>
  <c r="L11" i="13" s="1"/>
  <c r="G12" i="13"/>
  <c r="G13" i="13"/>
  <c r="K13" i="13" s="1"/>
  <c r="L13" i="13" s="1"/>
  <c r="G14" i="13"/>
  <c r="K14" i="13" s="1"/>
  <c r="L14" i="13" s="1"/>
  <c r="G15" i="13"/>
  <c r="K15" i="13" s="1"/>
  <c r="L15" i="13" s="1"/>
  <c r="G16" i="13"/>
  <c r="G17" i="13"/>
  <c r="G18" i="13"/>
  <c r="G19" i="13"/>
  <c r="G20" i="13"/>
  <c r="G21" i="13"/>
  <c r="G22" i="13"/>
  <c r="G23" i="13"/>
  <c r="K23" i="13" s="1"/>
  <c r="L23" i="13" s="1"/>
  <c r="G24" i="13"/>
  <c r="G25" i="13"/>
  <c r="G26" i="13"/>
  <c r="G27" i="13"/>
  <c r="G28" i="13"/>
  <c r="G29" i="13"/>
  <c r="G30" i="13"/>
  <c r="K30" i="13" s="1"/>
  <c r="L30" i="13" s="1"/>
  <c r="G31" i="13"/>
  <c r="K31" i="13" s="1"/>
  <c r="L31" i="13" s="1"/>
  <c r="G32" i="13"/>
  <c r="G33" i="13"/>
  <c r="G34" i="13"/>
  <c r="G35" i="13"/>
  <c r="G36" i="13"/>
  <c r="G37" i="13"/>
  <c r="G38" i="13"/>
  <c r="G39" i="13"/>
  <c r="K39" i="13" s="1"/>
  <c r="L39" i="13" s="1"/>
  <c r="G40" i="13"/>
  <c r="G41" i="13"/>
  <c r="K41" i="13" s="1"/>
  <c r="L41" i="13" s="1"/>
  <c r="G42" i="13"/>
  <c r="K42" i="13" s="1"/>
  <c r="L42" i="13" s="1"/>
  <c r="G43" i="13"/>
  <c r="K43" i="13" s="1"/>
  <c r="L43" i="13" s="1"/>
  <c r="G44" i="13"/>
  <c r="J44" i="13" s="1"/>
  <c r="G45" i="13"/>
  <c r="J45" i="13" s="1"/>
  <c r="G46" i="13"/>
  <c r="G47" i="13"/>
  <c r="K47" i="13" s="1"/>
  <c r="L47" i="13" s="1"/>
  <c r="G48" i="13"/>
  <c r="G49" i="13"/>
  <c r="G50" i="13"/>
  <c r="G51" i="13"/>
  <c r="G52" i="13"/>
  <c r="G53" i="13"/>
  <c r="J53" i="13" s="1"/>
  <c r="G54" i="13"/>
  <c r="G55" i="13"/>
  <c r="G56" i="13"/>
  <c r="G57" i="13"/>
  <c r="G58" i="13"/>
  <c r="G59" i="13"/>
  <c r="K59" i="13" s="1"/>
  <c r="L59" i="13" s="1"/>
  <c r="G60" i="13"/>
  <c r="J60" i="13" s="1"/>
  <c r="G61" i="13"/>
  <c r="K61" i="13" s="1"/>
  <c r="L61" i="13" s="1"/>
  <c r="G62" i="13"/>
  <c r="G63" i="13"/>
  <c r="K63" i="13" s="1"/>
  <c r="L63" i="13" s="1"/>
  <c r="G64" i="13"/>
  <c r="G65" i="13"/>
  <c r="G66" i="13"/>
  <c r="G67" i="13"/>
  <c r="J67" i="13" s="1"/>
  <c r="G68" i="13"/>
  <c r="G69" i="13"/>
  <c r="G70" i="13"/>
  <c r="G71" i="13"/>
  <c r="K71" i="13" s="1"/>
  <c r="L71" i="13" s="1"/>
  <c r="G72" i="13"/>
  <c r="K72" i="13" s="1"/>
  <c r="L72" i="13" s="1"/>
  <c r="G73" i="13"/>
  <c r="K73" i="13" s="1"/>
  <c r="L73" i="13" s="1"/>
  <c r="G74" i="13"/>
  <c r="K74" i="13" s="1"/>
  <c r="L74" i="13" s="1"/>
  <c r="G75" i="13"/>
  <c r="G76" i="13"/>
  <c r="G77" i="13"/>
  <c r="K77" i="13" s="1"/>
  <c r="L77" i="13" s="1"/>
  <c r="G78" i="13"/>
  <c r="G79" i="13"/>
  <c r="G80" i="13"/>
  <c r="G81" i="13"/>
  <c r="G82" i="13"/>
  <c r="G83" i="13"/>
  <c r="J83" i="13" s="1"/>
  <c r="G84" i="13"/>
  <c r="G85" i="13"/>
  <c r="J85" i="13" s="1"/>
  <c r="G86" i="13"/>
  <c r="G87" i="13"/>
  <c r="G88" i="13"/>
  <c r="J88" i="13" s="1"/>
  <c r="G89" i="13"/>
  <c r="K89" i="13" s="1"/>
  <c r="L89" i="13" s="1"/>
  <c r="G90" i="13"/>
  <c r="K90" i="13" s="1"/>
  <c r="L90" i="13" s="1"/>
  <c r="G91" i="13"/>
  <c r="G92" i="13"/>
  <c r="G93" i="13"/>
  <c r="K93" i="13" s="1"/>
  <c r="L93" i="13" s="1"/>
  <c r="G94" i="13"/>
  <c r="G95" i="13"/>
  <c r="K95" i="13" s="1"/>
  <c r="L95" i="13" s="1"/>
  <c r="G96" i="13"/>
  <c r="K96" i="13" s="1"/>
  <c r="L96" i="13" s="1"/>
  <c r="G97" i="13"/>
  <c r="G98" i="13"/>
  <c r="G99" i="13"/>
  <c r="G100" i="13"/>
  <c r="G101" i="13"/>
  <c r="G102" i="13"/>
  <c r="G103" i="13"/>
  <c r="K103" i="13" s="1"/>
  <c r="L103" i="13" s="1"/>
  <c r="G104" i="13"/>
  <c r="K104" i="13" s="1"/>
  <c r="L104" i="13" s="1"/>
  <c r="G105" i="13"/>
  <c r="G106" i="13"/>
  <c r="K106" i="13" s="1"/>
  <c r="L106" i="13" s="1"/>
  <c r="G107" i="13"/>
  <c r="G108" i="13"/>
  <c r="G109" i="13"/>
  <c r="G110" i="13"/>
  <c r="G111" i="13"/>
  <c r="G112" i="13"/>
  <c r="G113" i="13"/>
  <c r="G114" i="13"/>
  <c r="G115" i="13"/>
  <c r="G116" i="13"/>
  <c r="G117" i="13"/>
  <c r="G118" i="13"/>
  <c r="G119" i="13"/>
  <c r="K119" i="13" s="1"/>
  <c r="L119" i="13" s="1"/>
  <c r="G120" i="13"/>
  <c r="K120" i="13" s="1"/>
  <c r="L120" i="13" s="1"/>
  <c r="G121" i="13"/>
  <c r="G122" i="13"/>
  <c r="J122" i="13" s="1"/>
  <c r="G123" i="13"/>
  <c r="G124" i="13"/>
  <c r="J124" i="13" s="1"/>
  <c r="G125" i="13"/>
  <c r="K125" i="13" s="1"/>
  <c r="L125" i="13" s="1"/>
  <c r="G126" i="13"/>
  <c r="K126" i="13" s="1"/>
  <c r="L126" i="13" s="1"/>
  <c r="G127" i="13"/>
  <c r="K127" i="13" s="1"/>
  <c r="L127" i="13" s="1"/>
  <c r="G128" i="13"/>
  <c r="K128" i="13" s="1"/>
  <c r="L128" i="13" s="1"/>
  <c r="G129" i="13"/>
  <c r="G130" i="13"/>
  <c r="G131" i="13"/>
  <c r="G132" i="13"/>
  <c r="G133" i="13"/>
  <c r="G134" i="13"/>
  <c r="J134" i="13" s="1"/>
  <c r="G135" i="13"/>
  <c r="G136" i="13"/>
  <c r="K136" i="13" s="1"/>
  <c r="L136" i="13" s="1"/>
  <c r="G137" i="13"/>
  <c r="G138" i="13"/>
  <c r="G139" i="13"/>
  <c r="G140" i="13"/>
  <c r="G141" i="13"/>
  <c r="G142" i="13"/>
  <c r="G143" i="13"/>
  <c r="K143" i="13" s="1"/>
  <c r="L143" i="13" s="1"/>
  <c r="G144" i="13"/>
  <c r="K144" i="13" s="1"/>
  <c r="L144" i="13" s="1"/>
  <c r="G145" i="13"/>
  <c r="G146" i="13"/>
  <c r="G147" i="13"/>
  <c r="G148" i="13"/>
  <c r="G149" i="13"/>
  <c r="G150" i="13"/>
  <c r="G151" i="13"/>
  <c r="G152" i="13"/>
  <c r="K152" i="13" s="1"/>
  <c r="L152" i="13" s="1"/>
  <c r="G153" i="13"/>
  <c r="G154" i="13"/>
  <c r="K154" i="13" s="1"/>
  <c r="L154" i="13" s="1"/>
  <c r="G155" i="13"/>
  <c r="K155" i="13" s="1"/>
  <c r="L155" i="13" s="1"/>
  <c r="G156" i="13"/>
  <c r="J156" i="13" s="1"/>
  <c r="G157" i="13"/>
  <c r="K157" i="13" s="1"/>
  <c r="L157" i="13" s="1"/>
  <c r="G158" i="13"/>
  <c r="K158" i="13" s="1"/>
  <c r="L158" i="13" s="1"/>
  <c r="G159" i="13"/>
  <c r="G160" i="13"/>
  <c r="K160" i="13" s="1"/>
  <c r="L160" i="13" s="1"/>
  <c r="G161" i="13"/>
  <c r="G162" i="13"/>
  <c r="G163" i="13"/>
  <c r="J163" i="13" s="1"/>
  <c r="G164" i="13"/>
  <c r="G165" i="13"/>
  <c r="G166" i="13"/>
  <c r="G167" i="13"/>
  <c r="G168" i="13"/>
  <c r="G169" i="13"/>
  <c r="G170" i="13"/>
  <c r="J170" i="13" s="1"/>
  <c r="G171" i="13"/>
  <c r="G172" i="13"/>
  <c r="G173" i="13"/>
  <c r="K173" i="13" s="1"/>
  <c r="L173" i="13" s="1"/>
  <c r="G174" i="13"/>
  <c r="K174" i="13" s="1"/>
  <c r="L174" i="13" s="1"/>
  <c r="G175" i="13"/>
  <c r="G176" i="13"/>
  <c r="K176" i="13" s="1"/>
  <c r="L176" i="13" s="1"/>
  <c r="G177" i="13"/>
  <c r="G178" i="13"/>
  <c r="G179" i="13"/>
  <c r="G180" i="13"/>
  <c r="G181" i="13"/>
  <c r="G182" i="13"/>
  <c r="G183" i="13"/>
  <c r="G184" i="13"/>
  <c r="K184" i="13" s="1"/>
  <c r="L184" i="13" s="1"/>
  <c r="G185" i="13"/>
  <c r="K185" i="13" s="1"/>
  <c r="L185" i="13" s="1"/>
  <c r="G186" i="13"/>
  <c r="K186" i="13" s="1"/>
  <c r="L186" i="13" s="1"/>
  <c r="G187" i="13"/>
  <c r="K187" i="13" s="1"/>
  <c r="L187" i="13" s="1"/>
  <c r="G188" i="13"/>
  <c r="G189" i="13"/>
  <c r="G190" i="13"/>
  <c r="K190" i="13" s="1"/>
  <c r="L190" i="13" s="1"/>
  <c r="G191" i="13"/>
  <c r="G192" i="13"/>
  <c r="G193" i="13"/>
  <c r="G194" i="13"/>
  <c r="G195" i="13"/>
  <c r="G196" i="13"/>
  <c r="G197" i="13"/>
  <c r="G198" i="13"/>
  <c r="J198" i="13" s="1"/>
  <c r="G199" i="13"/>
  <c r="J199" i="13" s="1"/>
  <c r="G200" i="13"/>
  <c r="G201" i="13"/>
  <c r="G202" i="13"/>
  <c r="K202" i="13" s="1"/>
  <c r="L202" i="13" s="1"/>
  <c r="G203" i="13"/>
  <c r="K203" i="13" s="1"/>
  <c r="L203" i="13" s="1"/>
  <c r="G204" i="13"/>
  <c r="G205" i="13"/>
  <c r="G206" i="13"/>
  <c r="K206" i="13" s="1"/>
  <c r="L206" i="13" s="1"/>
  <c r="G207" i="13"/>
  <c r="G208" i="13"/>
  <c r="K208" i="13" s="1"/>
  <c r="L208" i="13" s="1"/>
  <c r="G209" i="13"/>
  <c r="G210" i="13"/>
  <c r="J210" i="13" s="1"/>
  <c r="G211" i="13"/>
  <c r="J211" i="13" s="1"/>
  <c r="G212" i="13"/>
  <c r="G213" i="13"/>
  <c r="G214" i="13"/>
  <c r="J214" i="13" s="1"/>
  <c r="G215" i="13"/>
  <c r="K215" i="13" s="1"/>
  <c r="L215" i="13" s="1"/>
  <c r="G216" i="13"/>
  <c r="K216" i="13" s="1"/>
  <c r="L216" i="13" s="1"/>
  <c r="G217" i="13"/>
  <c r="K217" i="13" s="1"/>
  <c r="L217" i="13" s="1"/>
  <c r="G218" i="13"/>
  <c r="G219" i="13"/>
  <c r="K219" i="13" s="1"/>
  <c r="L219" i="13" s="1"/>
  <c r="G220" i="13"/>
  <c r="G221" i="13"/>
  <c r="G222" i="13"/>
  <c r="G223" i="13"/>
  <c r="G224" i="13"/>
  <c r="J224" i="13" s="1"/>
  <c r="G225" i="13"/>
  <c r="G226" i="13"/>
  <c r="G227" i="13"/>
  <c r="G228" i="13"/>
  <c r="G229" i="13"/>
  <c r="G230" i="13"/>
  <c r="G231" i="13"/>
  <c r="G232" i="13"/>
  <c r="K232" i="13" s="1"/>
  <c r="L232" i="13" s="1"/>
  <c r="G233" i="13"/>
  <c r="J233" i="13" s="1"/>
  <c r="G234" i="13"/>
  <c r="G235" i="13"/>
  <c r="K235" i="13" s="1"/>
  <c r="L235" i="13" s="1"/>
  <c r="G236" i="13"/>
  <c r="G237" i="13"/>
  <c r="G238" i="13"/>
  <c r="K238" i="13" s="1"/>
  <c r="L238" i="13" s="1"/>
  <c r="G239" i="13"/>
  <c r="K239" i="13" s="1"/>
  <c r="L239" i="13" s="1"/>
  <c r="G240" i="13"/>
  <c r="J240" i="13" s="1"/>
  <c r="G241" i="13"/>
  <c r="G242" i="13"/>
  <c r="J242" i="13" s="1"/>
  <c r="G243" i="13"/>
  <c r="G244" i="13"/>
  <c r="G245" i="13"/>
  <c r="K245" i="13" s="1"/>
  <c r="L245" i="13" s="1"/>
  <c r="G246" i="13"/>
  <c r="J246" i="13" s="1"/>
  <c r="G247" i="13"/>
  <c r="J247" i="13" s="1"/>
  <c r="G248" i="13"/>
  <c r="K248" i="13" s="1"/>
  <c r="L248" i="13" s="1"/>
  <c r="G249" i="13"/>
  <c r="J249" i="13" s="1"/>
  <c r="G250" i="13"/>
  <c r="G251" i="13"/>
  <c r="G252" i="13"/>
  <c r="G253" i="13"/>
  <c r="G254" i="13"/>
  <c r="G255" i="13"/>
  <c r="K255" i="13" s="1"/>
  <c r="L255" i="13" s="1"/>
  <c r="G256" i="13"/>
  <c r="K256" i="13" s="1"/>
  <c r="L256" i="13" s="1"/>
  <c r="G257" i="13"/>
  <c r="G258" i="13"/>
  <c r="J258" i="13" s="1"/>
  <c r="G259" i="13"/>
  <c r="G260" i="13"/>
  <c r="G261" i="13"/>
  <c r="G262" i="13"/>
  <c r="G263" i="13"/>
  <c r="K263" i="13" s="1"/>
  <c r="L263" i="13" s="1"/>
  <c r="G264" i="13"/>
  <c r="G265" i="13"/>
  <c r="K265" i="13" s="1"/>
  <c r="L265" i="13" s="1"/>
  <c r="G266" i="13"/>
  <c r="K266" i="13" s="1"/>
  <c r="L266" i="13" s="1"/>
  <c r="G267" i="13"/>
  <c r="K267" i="13" s="1"/>
  <c r="L267" i="13" s="1"/>
  <c r="G268" i="13"/>
  <c r="G269" i="13"/>
  <c r="K269" i="13" s="1"/>
  <c r="L269" i="13" s="1"/>
  <c r="G270" i="13"/>
  <c r="G271" i="13"/>
  <c r="K271" i="13" s="1"/>
  <c r="L271" i="13" s="1"/>
  <c r="G272" i="13"/>
  <c r="G273" i="13"/>
  <c r="J273" i="13" s="1"/>
  <c r="G274" i="13"/>
  <c r="J274" i="13" s="1"/>
  <c r="G275" i="13"/>
  <c r="G276" i="13"/>
  <c r="G277" i="13"/>
  <c r="G278" i="13"/>
  <c r="J278" i="13" s="1"/>
  <c r="G279" i="13"/>
  <c r="G280" i="13"/>
  <c r="G281" i="13"/>
  <c r="J281" i="13" s="1"/>
  <c r="G282" i="13"/>
  <c r="K282" i="13" s="1"/>
  <c r="L282" i="13" s="1"/>
  <c r="G283" i="13"/>
  <c r="K283" i="13" s="1"/>
  <c r="L283" i="13" s="1"/>
  <c r="G284" i="13"/>
  <c r="G285" i="13"/>
  <c r="G286" i="13"/>
  <c r="K286" i="13" s="1"/>
  <c r="L286" i="13" s="1"/>
  <c r="G287" i="13"/>
  <c r="G288" i="13"/>
  <c r="J288" i="13" s="1"/>
  <c r="G289" i="13"/>
  <c r="J289" i="13" s="1"/>
  <c r="G290" i="13"/>
  <c r="J290" i="13" s="1"/>
  <c r="G291" i="13"/>
  <c r="G292" i="13"/>
  <c r="G293" i="13"/>
  <c r="K293" i="13" s="1"/>
  <c r="L293" i="13" s="1"/>
  <c r="G294" i="13"/>
  <c r="J294" i="13" s="1"/>
  <c r="G295" i="13"/>
  <c r="K295" i="13" s="1"/>
  <c r="L295" i="13" s="1"/>
  <c r="G296" i="13"/>
  <c r="K296" i="13" s="1"/>
  <c r="L296" i="13" s="1"/>
  <c r="G297" i="13"/>
  <c r="G298" i="13"/>
  <c r="K298" i="13" s="1"/>
  <c r="L298" i="13" s="1"/>
  <c r="G299" i="13"/>
  <c r="G300" i="13"/>
  <c r="G301" i="13"/>
  <c r="G302" i="13"/>
  <c r="G303" i="13"/>
  <c r="G304" i="13"/>
  <c r="G305" i="13"/>
  <c r="G306" i="13"/>
  <c r="G307" i="13"/>
  <c r="J307" i="13" s="1"/>
  <c r="G308" i="13"/>
  <c r="J308" i="13" s="1"/>
  <c r="G309" i="13"/>
  <c r="K309" i="13" s="1"/>
  <c r="L309" i="13" s="1"/>
  <c r="G310" i="13"/>
  <c r="G311" i="13"/>
  <c r="J311" i="13" s="1"/>
  <c r="G312" i="13"/>
  <c r="G313" i="13"/>
  <c r="K313" i="13" s="1"/>
  <c r="L313" i="13" s="1"/>
  <c r="G314" i="13"/>
  <c r="G315" i="13"/>
  <c r="K315" i="13" s="1"/>
  <c r="L315" i="13" s="1"/>
  <c r="G316" i="13"/>
  <c r="G317" i="13"/>
  <c r="K317" i="13" s="1"/>
  <c r="L317" i="13" s="1"/>
  <c r="G318" i="13"/>
  <c r="K318" i="13" s="1"/>
  <c r="L318" i="13" s="1"/>
  <c r="G319" i="13"/>
  <c r="K319" i="13" s="1"/>
  <c r="L319" i="13" s="1"/>
  <c r="G320" i="13"/>
  <c r="J320" i="13" s="1"/>
  <c r="G321" i="13"/>
  <c r="J321" i="13" s="1"/>
  <c r="G322" i="13"/>
  <c r="J322" i="13" s="1"/>
  <c r="G323" i="13"/>
  <c r="J323" i="13" s="1"/>
  <c r="G324" i="13"/>
  <c r="K324" i="13" s="1"/>
  <c r="L324" i="13" s="1"/>
  <c r="G325" i="13"/>
  <c r="G326" i="13"/>
  <c r="J326" i="13" s="1"/>
  <c r="G327" i="13"/>
  <c r="G328" i="13"/>
  <c r="G329" i="13"/>
  <c r="G330" i="13"/>
  <c r="K330" i="13" s="1"/>
  <c r="L330" i="13" s="1"/>
  <c r="G331" i="13"/>
  <c r="K331" i="13" s="1"/>
  <c r="L331" i="13" s="1"/>
  <c r="G332" i="13"/>
  <c r="G333" i="13"/>
  <c r="G334" i="13"/>
  <c r="K334" i="13" s="1"/>
  <c r="L334" i="13" s="1"/>
  <c r="G335" i="13"/>
  <c r="G336" i="13"/>
  <c r="K336" i="13" s="1"/>
  <c r="L336" i="13" s="1"/>
  <c r="G337" i="13"/>
  <c r="G338" i="13"/>
  <c r="G339" i="13"/>
  <c r="K339" i="13" s="1"/>
  <c r="L339" i="13" s="1"/>
  <c r="G340" i="13"/>
  <c r="K340" i="13" s="1"/>
  <c r="L340" i="13" s="1"/>
  <c r="G341" i="13"/>
  <c r="K341" i="13" s="1"/>
  <c r="L341" i="13" s="1"/>
  <c r="G342" i="13"/>
  <c r="G343" i="13"/>
  <c r="K343" i="13" s="1"/>
  <c r="L343" i="13" s="1"/>
  <c r="G344" i="13"/>
  <c r="G345" i="13"/>
  <c r="G346" i="13"/>
  <c r="G347" i="13"/>
  <c r="G348" i="13"/>
  <c r="G349" i="13"/>
  <c r="G350" i="13"/>
  <c r="K350" i="13" s="1"/>
  <c r="L350" i="13" s="1"/>
  <c r="G351" i="13"/>
  <c r="K351" i="13" s="1"/>
  <c r="L351" i="13" s="1"/>
  <c r="G352" i="13"/>
  <c r="J352" i="13" s="1"/>
  <c r="G353" i="13"/>
  <c r="J353" i="13" s="1"/>
  <c r="G354" i="13"/>
  <c r="J354" i="13" s="1"/>
  <c r="G355" i="13"/>
  <c r="K355" i="13" s="1"/>
  <c r="L355" i="13" s="1"/>
  <c r="G356" i="13"/>
  <c r="G357" i="13"/>
  <c r="K357" i="13" s="1"/>
  <c r="L357" i="13" s="1"/>
  <c r="G358" i="13"/>
  <c r="K358" i="13" s="1"/>
  <c r="L358" i="13" s="1"/>
  <c r="G359" i="13"/>
  <c r="K359" i="13" s="1"/>
  <c r="L359" i="13" s="1"/>
  <c r="G360" i="13"/>
  <c r="K360" i="13" s="1"/>
  <c r="L360" i="13" s="1"/>
  <c r="G361" i="13"/>
  <c r="G362" i="13"/>
  <c r="K362" i="13" s="1"/>
  <c r="L362" i="13" s="1"/>
  <c r="G363" i="13"/>
  <c r="G364" i="13"/>
  <c r="G365" i="13"/>
  <c r="G366" i="13"/>
  <c r="G367" i="13"/>
  <c r="G368" i="13"/>
  <c r="G369" i="13"/>
  <c r="G370" i="13"/>
  <c r="G371" i="13"/>
  <c r="J371" i="13" s="1"/>
  <c r="G372" i="13"/>
  <c r="J372" i="13" s="1"/>
  <c r="G373" i="13"/>
  <c r="G374" i="13"/>
  <c r="K374" i="13" s="1"/>
  <c r="L374" i="13" s="1"/>
  <c r="G375" i="13"/>
  <c r="J375" i="13" s="1"/>
  <c r="G376" i="13"/>
  <c r="K376" i="13" s="1"/>
  <c r="L376" i="13" s="1"/>
  <c r="G377" i="13"/>
  <c r="K377" i="13" s="1"/>
  <c r="L377" i="13" s="1"/>
  <c r="G378" i="13"/>
  <c r="K378" i="13" s="1"/>
  <c r="L378" i="13" s="1"/>
  <c r="G379" i="13"/>
  <c r="K379" i="13" s="1"/>
  <c r="L379" i="13" s="1"/>
  <c r="G380" i="13"/>
  <c r="G381" i="13"/>
  <c r="G382" i="13"/>
  <c r="K382" i="13" s="1"/>
  <c r="L382" i="13" s="1"/>
  <c r="G383" i="13"/>
  <c r="G384" i="13"/>
  <c r="J384" i="13" s="1"/>
  <c r="G385" i="13"/>
  <c r="J385" i="13" s="1"/>
  <c r="G386" i="13"/>
  <c r="J386" i="13" s="1"/>
  <c r="G387" i="13"/>
  <c r="J387" i="13" s="1"/>
  <c r="G388" i="13"/>
  <c r="G389" i="13"/>
  <c r="K389" i="13" s="1"/>
  <c r="L389" i="13" s="1"/>
  <c r="G390" i="13"/>
  <c r="K390" i="13" s="1"/>
  <c r="L390" i="13" s="1"/>
  <c r="G391" i="13"/>
  <c r="G392" i="13"/>
  <c r="K392" i="13" s="1"/>
  <c r="L392" i="13" s="1"/>
  <c r="G393" i="13"/>
  <c r="G394" i="13"/>
  <c r="K394" i="13" s="1"/>
  <c r="L394" i="13" s="1"/>
  <c r="G395" i="13"/>
  <c r="K395" i="13" s="1"/>
  <c r="L395" i="13" s="1"/>
  <c r="G396" i="13"/>
  <c r="G397" i="13"/>
  <c r="K397" i="13" s="1"/>
  <c r="L397" i="13" s="1"/>
  <c r="G398" i="13"/>
  <c r="K398" i="13" s="1"/>
  <c r="L398" i="13" s="1"/>
  <c r="G399" i="13"/>
  <c r="G400" i="13"/>
  <c r="K400" i="13" s="1"/>
  <c r="L400" i="13" s="1"/>
  <c r="G401" i="13"/>
  <c r="G402" i="13"/>
  <c r="G403" i="13"/>
  <c r="J403" i="13" s="1"/>
  <c r="G404" i="13"/>
  <c r="J404" i="13" s="1"/>
  <c r="G405" i="13"/>
  <c r="G406" i="13"/>
  <c r="G407" i="13"/>
  <c r="J407" i="13" s="1"/>
  <c r="G408" i="13"/>
  <c r="K408" i="13" s="1"/>
  <c r="L408" i="13" s="1"/>
  <c r="G409" i="13"/>
  <c r="G410" i="13"/>
  <c r="K410" i="13" s="1"/>
  <c r="L410" i="13" s="1"/>
  <c r="G411" i="13"/>
  <c r="G412" i="13"/>
  <c r="G413" i="13"/>
  <c r="K413" i="13" s="1"/>
  <c r="L413" i="13" s="1"/>
  <c r="G414" i="13"/>
  <c r="K414" i="13" s="1"/>
  <c r="L414" i="13" s="1"/>
  <c r="G415" i="13"/>
  <c r="K415" i="13" s="1"/>
  <c r="L415" i="13" s="1"/>
  <c r="G416" i="13"/>
  <c r="K416" i="13" s="1"/>
  <c r="L416" i="13" s="1"/>
  <c r="G417" i="13"/>
  <c r="J417" i="13" s="1"/>
  <c r="G418" i="13"/>
  <c r="J418" i="13" s="1"/>
  <c r="G419" i="13"/>
  <c r="K419" i="13" s="1"/>
  <c r="L419" i="13" s="1"/>
  <c r="G420" i="13"/>
  <c r="G421" i="13"/>
  <c r="G422" i="13"/>
  <c r="J422" i="13" s="1"/>
  <c r="G423" i="13"/>
  <c r="G424" i="13"/>
  <c r="G425" i="13"/>
  <c r="K425" i="13" s="1"/>
  <c r="L425" i="13" s="1"/>
  <c r="G426" i="13"/>
  <c r="K426" i="13" s="1"/>
  <c r="L426" i="13" s="1"/>
  <c r="G427" i="13"/>
  <c r="G428" i="13"/>
  <c r="G429" i="13"/>
  <c r="K429" i="13" s="1"/>
  <c r="L429" i="13" s="1"/>
  <c r="G430" i="13"/>
  <c r="G431" i="13"/>
  <c r="K431" i="13" s="1"/>
  <c r="L431" i="13" s="1"/>
  <c r="G432" i="13"/>
  <c r="K432" i="13" s="1"/>
  <c r="L432" i="13" s="1"/>
  <c r="G433" i="13"/>
  <c r="K433" i="13" s="1"/>
  <c r="L433" i="13" s="1"/>
  <c r="G434" i="13"/>
  <c r="G435" i="13"/>
  <c r="J435" i="13" s="1"/>
  <c r="G436" i="13"/>
  <c r="J436" i="13" s="1"/>
  <c r="G437" i="13"/>
  <c r="K437" i="13" s="1"/>
  <c r="L437" i="13" s="1"/>
  <c r="G438" i="13"/>
  <c r="G439" i="13"/>
  <c r="J439" i="13" s="1"/>
  <c r="G440" i="13"/>
  <c r="G441" i="13"/>
  <c r="G442" i="13"/>
  <c r="G443" i="13"/>
  <c r="K443" i="13" s="1"/>
  <c r="L443" i="13" s="1"/>
  <c r="G444" i="13"/>
  <c r="G445" i="13"/>
  <c r="K445" i="13" s="1"/>
  <c r="L445" i="13" s="1"/>
  <c r="G446" i="13"/>
  <c r="G447" i="13"/>
  <c r="K447" i="13" s="1"/>
  <c r="L447" i="13" s="1"/>
  <c r="G448" i="13"/>
  <c r="J448" i="13" s="1"/>
  <c r="G449" i="13"/>
  <c r="J449" i="13" s="1"/>
  <c r="G450" i="13"/>
  <c r="J450" i="13" s="1"/>
  <c r="G451" i="13"/>
  <c r="K451" i="13" s="1"/>
  <c r="L451" i="13" s="1"/>
  <c r="G452" i="13"/>
  <c r="K452" i="13" s="1"/>
  <c r="L452" i="13" s="1"/>
  <c r="G453" i="13"/>
  <c r="K453" i="13" s="1"/>
  <c r="L453" i="13" s="1"/>
  <c r="G454" i="13"/>
  <c r="J454" i="13" s="1"/>
  <c r="G455" i="13"/>
  <c r="K455" i="13" s="1"/>
  <c r="L455" i="13" s="1"/>
  <c r="G456" i="13"/>
  <c r="G457" i="13"/>
  <c r="G458" i="13"/>
  <c r="G459" i="13"/>
  <c r="G460" i="13"/>
  <c r="G461" i="13"/>
  <c r="G462" i="13"/>
  <c r="K462" i="13" s="1"/>
  <c r="L462" i="13" s="1"/>
  <c r="G463" i="13"/>
  <c r="K463" i="13" s="1"/>
  <c r="L463" i="13" s="1"/>
  <c r="G464" i="13"/>
  <c r="G465" i="13"/>
  <c r="K465" i="13" s="1"/>
  <c r="L465" i="13" s="1"/>
  <c r="G466" i="13"/>
  <c r="G467" i="13"/>
  <c r="J467" i="13" s="1"/>
  <c r="G468" i="13"/>
  <c r="K468" i="13" s="1"/>
  <c r="L468" i="13" s="1"/>
  <c r="G469" i="13"/>
  <c r="K469" i="13" s="1"/>
  <c r="L469" i="13" s="1"/>
  <c r="G470" i="13"/>
  <c r="K470" i="13" s="1"/>
  <c r="L470" i="13" s="1"/>
  <c r="G471" i="13"/>
  <c r="J471" i="13" s="1"/>
  <c r="G472" i="13"/>
  <c r="G473" i="13"/>
  <c r="K473" i="13" s="1"/>
  <c r="L473" i="13" s="1"/>
  <c r="G474" i="13"/>
  <c r="G475" i="13"/>
  <c r="G476" i="13"/>
  <c r="G477" i="13"/>
  <c r="G478" i="13"/>
  <c r="G479" i="13"/>
  <c r="G480" i="13"/>
  <c r="J480" i="13" s="1"/>
  <c r="G481" i="13"/>
  <c r="J481" i="13" s="1"/>
  <c r="G482" i="13"/>
  <c r="J482" i="13" s="1"/>
  <c r="G483" i="13"/>
  <c r="J483" i="13" s="1"/>
  <c r="G484" i="13"/>
  <c r="K484" i="13" s="1"/>
  <c r="L484" i="13" s="1"/>
  <c r="G485" i="13"/>
  <c r="K485" i="13" s="1"/>
  <c r="L485" i="13" s="1"/>
  <c r="G486" i="13"/>
  <c r="J486" i="13" s="1"/>
  <c r="G487" i="13"/>
  <c r="K487" i="13" s="1"/>
  <c r="L487" i="13" s="1"/>
  <c r="G488" i="13"/>
  <c r="K488" i="13" s="1"/>
  <c r="L488" i="13" s="1"/>
  <c r="G489" i="13"/>
  <c r="K489" i="13" s="1"/>
  <c r="L489" i="13" s="1"/>
  <c r="G490" i="13"/>
  <c r="G491" i="13"/>
  <c r="K491" i="13" s="1"/>
  <c r="L491" i="13" s="1"/>
  <c r="G492" i="13"/>
  <c r="G493" i="13"/>
  <c r="G494" i="13"/>
  <c r="G495" i="13"/>
  <c r="G496" i="13"/>
  <c r="G497" i="13"/>
  <c r="G498" i="13"/>
  <c r="G499" i="13"/>
  <c r="K499" i="13" s="1"/>
  <c r="L499" i="13" s="1"/>
  <c r="G500" i="13"/>
  <c r="K500" i="13" s="1"/>
  <c r="L500" i="13" s="1"/>
  <c r="G501" i="13"/>
  <c r="G502" i="13"/>
  <c r="K502" i="13" s="1"/>
  <c r="L502" i="13" s="1"/>
  <c r="G503" i="13"/>
  <c r="K503" i="13" s="1"/>
  <c r="L503" i="13" s="1"/>
  <c r="G504" i="13"/>
  <c r="K504" i="13" s="1"/>
  <c r="L504" i="13" s="1"/>
  <c r="G505" i="13"/>
  <c r="K505" i="13" s="1"/>
  <c r="L505" i="13" s="1"/>
  <c r="G506" i="13"/>
  <c r="K506" i="13" s="1"/>
  <c r="L506" i="13" s="1"/>
  <c r="G507" i="13"/>
  <c r="K507" i="13" s="1"/>
  <c r="L507" i="13" s="1"/>
  <c r="G508" i="13"/>
  <c r="G509" i="13"/>
  <c r="G510" i="13"/>
  <c r="K510" i="13" s="1"/>
  <c r="L510" i="13" s="1"/>
  <c r="G511" i="13"/>
  <c r="G512" i="13"/>
  <c r="J512" i="13" s="1"/>
  <c r="G513" i="13"/>
  <c r="J513" i="13" s="1"/>
  <c r="G514" i="13"/>
  <c r="J514" i="13" s="1"/>
  <c r="G515" i="13"/>
  <c r="J515" i="13" s="1"/>
  <c r="G516" i="13"/>
  <c r="G517" i="13"/>
  <c r="K517" i="13" s="1"/>
  <c r="L517" i="13" s="1"/>
  <c r="G518" i="13"/>
  <c r="K518" i="13" s="1"/>
  <c r="L518" i="13" s="1"/>
  <c r="G519" i="13"/>
  <c r="G520" i="13"/>
  <c r="K520" i="13" s="1"/>
  <c r="L520" i="13" s="1"/>
  <c r="G521" i="13"/>
  <c r="K521" i="13" s="1"/>
  <c r="L521" i="13" s="1"/>
  <c r="G522" i="13"/>
  <c r="K522" i="13" s="1"/>
  <c r="L522" i="13" s="1"/>
  <c r="G523" i="13"/>
  <c r="K523" i="13" s="1"/>
  <c r="L523" i="13" s="1"/>
  <c r="G524" i="13"/>
  <c r="G525" i="13"/>
  <c r="K525" i="13" s="1"/>
  <c r="L525" i="13" s="1"/>
  <c r="G526" i="13"/>
  <c r="K526" i="13" s="1"/>
  <c r="L526" i="13" s="1"/>
  <c r="G527" i="13"/>
  <c r="G528" i="13"/>
  <c r="K528" i="13" s="1"/>
  <c r="L528" i="13" s="1"/>
  <c r="G529" i="13"/>
  <c r="G530" i="13"/>
  <c r="G531" i="13"/>
  <c r="J531" i="13" s="1"/>
  <c r="G532" i="13"/>
  <c r="J532" i="13" s="1"/>
  <c r="G533" i="13"/>
  <c r="G534" i="13"/>
  <c r="K534" i="13" s="1"/>
  <c r="L534" i="13" s="1"/>
  <c r="G535" i="13"/>
  <c r="K535" i="13" s="1"/>
  <c r="L535" i="13" s="1"/>
  <c r="G536" i="13"/>
  <c r="G537" i="13"/>
  <c r="J537" i="13" s="1"/>
  <c r="G538" i="13"/>
  <c r="K538" i="13" s="1"/>
  <c r="L538" i="13" s="1"/>
  <c r="G539" i="13"/>
  <c r="K539" i="13" s="1"/>
  <c r="L539" i="13" s="1"/>
  <c r="G540" i="13"/>
  <c r="G541" i="13"/>
  <c r="K541" i="13" s="1"/>
  <c r="L541" i="13" s="1"/>
  <c r="G542" i="13"/>
  <c r="K542" i="13" s="1"/>
  <c r="L542" i="13" s="1"/>
  <c r="G543" i="13"/>
  <c r="K543" i="13" s="1"/>
  <c r="L543" i="13" s="1"/>
  <c r="G544" i="13"/>
  <c r="J544" i="13" s="1"/>
  <c r="G545" i="13"/>
  <c r="J545" i="13" s="1"/>
  <c r="G546" i="13"/>
  <c r="J546" i="13" s="1"/>
  <c r="G547" i="13"/>
  <c r="G548" i="13"/>
  <c r="J548" i="13" s="1"/>
  <c r="G549" i="13"/>
  <c r="G550" i="13"/>
  <c r="G551" i="13"/>
  <c r="K551" i="13" s="1"/>
  <c r="L551" i="13" s="1"/>
  <c r="G552" i="13"/>
  <c r="K552" i="13" s="1"/>
  <c r="L552" i="13" s="1"/>
  <c r="G553" i="13"/>
  <c r="G554" i="13"/>
  <c r="K554" i="13" s="1"/>
  <c r="L554" i="13" s="1"/>
  <c r="G555" i="13"/>
  <c r="K555" i="13" s="1"/>
  <c r="L555" i="13" s="1"/>
  <c r="G556" i="13"/>
  <c r="G557" i="13"/>
  <c r="K557" i="13" s="1"/>
  <c r="L557" i="13" s="1"/>
  <c r="G558" i="13"/>
  <c r="K558" i="13" s="1"/>
  <c r="L558" i="13" s="1"/>
  <c r="G559" i="13"/>
  <c r="K559" i="13" s="1"/>
  <c r="L559" i="13" s="1"/>
  <c r="G560" i="13"/>
  <c r="K560" i="13" s="1"/>
  <c r="L560" i="13" s="1"/>
  <c r="G561" i="13"/>
  <c r="J561" i="13" s="1"/>
  <c r="G562" i="13"/>
  <c r="K562" i="13" s="1"/>
  <c r="L562" i="13" s="1"/>
  <c r="G563" i="13"/>
  <c r="G564" i="13"/>
  <c r="J564" i="13" s="1"/>
  <c r="G565" i="13"/>
  <c r="G566" i="13"/>
  <c r="G567" i="13"/>
  <c r="J567" i="13" s="1"/>
  <c r="G568" i="13"/>
  <c r="J568" i="13" s="1"/>
  <c r="G569" i="13"/>
  <c r="K569" i="13" s="1"/>
  <c r="L569" i="13" s="1"/>
  <c r="G570" i="13"/>
  <c r="G571" i="13"/>
  <c r="K571" i="13" s="1"/>
  <c r="L571" i="13" s="1"/>
  <c r="G572" i="13"/>
  <c r="G573" i="13"/>
  <c r="K573" i="13" s="1"/>
  <c r="L573" i="13" s="1"/>
  <c r="G574" i="13"/>
  <c r="K574" i="13" s="1"/>
  <c r="L574" i="13" s="1"/>
  <c r="G575" i="13"/>
  <c r="K575" i="13" s="1"/>
  <c r="L575" i="13" s="1"/>
  <c r="G576" i="13"/>
  <c r="K576" i="13" s="1"/>
  <c r="L576" i="13" s="1"/>
  <c r="G577" i="13"/>
  <c r="K577" i="13" s="1"/>
  <c r="L577" i="13" s="1"/>
  <c r="G578" i="13"/>
  <c r="J578" i="13" s="1"/>
  <c r="G579" i="13"/>
  <c r="K579" i="13" s="1"/>
  <c r="L579" i="13" s="1"/>
  <c r="G580" i="13"/>
  <c r="G581" i="13"/>
  <c r="G582" i="13"/>
  <c r="G583" i="13"/>
  <c r="G584" i="13"/>
  <c r="G585" i="13"/>
  <c r="K585" i="13" s="1"/>
  <c r="L585" i="13" s="1"/>
  <c r="G586" i="13"/>
  <c r="K586" i="13" s="1"/>
  <c r="L586" i="13" s="1"/>
  <c r="G587" i="13"/>
  <c r="K587" i="13" s="1"/>
  <c r="L587" i="13" s="1"/>
  <c r="G588" i="13"/>
  <c r="G589" i="13"/>
  <c r="K589" i="13" s="1"/>
  <c r="L589" i="13" s="1"/>
  <c r="G590" i="13"/>
  <c r="K590" i="13" s="1"/>
  <c r="L590" i="13" s="1"/>
  <c r="F1" i="13"/>
  <c r="E1" i="13"/>
  <c r="J313" i="13" l="1"/>
  <c r="M313" i="13" s="1"/>
  <c r="J266" i="13"/>
  <c r="M266" i="13" s="1"/>
  <c r="J206" i="13"/>
  <c r="M206" i="13" s="1"/>
  <c r="J590" i="13"/>
  <c r="M590" i="13" s="1"/>
  <c r="J155" i="13"/>
  <c r="M155" i="13" s="1"/>
  <c r="J562" i="13"/>
  <c r="M562" i="13" s="1"/>
  <c r="J152" i="13"/>
  <c r="M152" i="13" s="1"/>
  <c r="J528" i="13"/>
  <c r="M528" i="13" s="1"/>
  <c r="J96" i="13"/>
  <c r="M96" i="13" s="1"/>
  <c r="J263" i="13"/>
  <c r="M263" i="13" s="1"/>
  <c r="J500" i="13"/>
  <c r="J93" i="13"/>
  <c r="M93" i="13" s="1"/>
  <c r="J469" i="13"/>
  <c r="M469" i="13" s="1"/>
  <c r="J42" i="13"/>
  <c r="M42" i="13" s="1"/>
  <c r="J432" i="13"/>
  <c r="M432" i="13" s="1"/>
  <c r="J39" i="13"/>
  <c r="M39" i="13" s="1"/>
  <c r="J429" i="13"/>
  <c r="M429" i="13" s="1"/>
  <c r="K564" i="13"/>
  <c r="L564" i="13" s="1"/>
  <c r="J395" i="13"/>
  <c r="M395" i="13" s="1"/>
  <c r="K311" i="13"/>
  <c r="L311" i="13" s="1"/>
  <c r="M311" i="13" s="1"/>
  <c r="J392" i="13"/>
  <c r="M392" i="13" s="1"/>
  <c r="K242" i="13"/>
  <c r="L242" i="13" s="1"/>
  <c r="J358" i="13"/>
  <c r="M358" i="13" s="1"/>
  <c r="K156" i="13"/>
  <c r="L156" i="13" s="1"/>
  <c r="J355" i="13"/>
  <c r="K134" i="13"/>
  <c r="L134" i="13" s="1"/>
  <c r="M134" i="13" s="1"/>
  <c r="J317" i="13"/>
  <c r="M317" i="13" s="1"/>
  <c r="M568" i="13"/>
  <c r="J529" i="13"/>
  <c r="K529" i="13"/>
  <c r="L529" i="13" s="1"/>
  <c r="J369" i="13"/>
  <c r="K369" i="13"/>
  <c r="L369" i="13" s="1"/>
  <c r="K193" i="13"/>
  <c r="L193" i="13" s="1"/>
  <c r="J193" i="13"/>
  <c r="K81" i="13"/>
  <c r="L81" i="13" s="1"/>
  <c r="J81" i="13"/>
  <c r="J535" i="13"/>
  <c r="M535" i="13" s="1"/>
  <c r="J503" i="13"/>
  <c r="M503" i="13" s="1"/>
  <c r="J215" i="13"/>
  <c r="M215" i="13" s="1"/>
  <c r="K568" i="13"/>
  <c r="L568" i="13" s="1"/>
  <c r="K513" i="13"/>
  <c r="L513" i="13" s="1"/>
  <c r="M513" i="13" s="1"/>
  <c r="K449" i="13"/>
  <c r="L449" i="13" s="1"/>
  <c r="M449" i="13" s="1"/>
  <c r="K385" i="13"/>
  <c r="L385" i="13" s="1"/>
  <c r="M385" i="13" s="1"/>
  <c r="K321" i="13"/>
  <c r="L321" i="13" s="1"/>
  <c r="M321" i="13" s="1"/>
  <c r="K247" i="13"/>
  <c r="L247" i="13" s="1"/>
  <c r="M247" i="13" s="1"/>
  <c r="K496" i="13"/>
  <c r="L496" i="13" s="1"/>
  <c r="J496" i="13"/>
  <c r="K464" i="13"/>
  <c r="L464" i="13" s="1"/>
  <c r="J464" i="13"/>
  <c r="K368" i="13"/>
  <c r="L368" i="13" s="1"/>
  <c r="J368" i="13"/>
  <c r="K304" i="13"/>
  <c r="L304" i="13" s="1"/>
  <c r="J304" i="13"/>
  <c r="J272" i="13"/>
  <c r="K272" i="13"/>
  <c r="L272" i="13" s="1"/>
  <c r="K192" i="13"/>
  <c r="L192" i="13" s="1"/>
  <c r="J192" i="13"/>
  <c r="K112" i="13"/>
  <c r="L112" i="13" s="1"/>
  <c r="J112" i="13"/>
  <c r="K80" i="13"/>
  <c r="L80" i="13" s="1"/>
  <c r="J80" i="13"/>
  <c r="K64" i="13"/>
  <c r="L64" i="13" s="1"/>
  <c r="J64" i="13"/>
  <c r="K48" i="13"/>
  <c r="L48" i="13" s="1"/>
  <c r="J48" i="13"/>
  <c r="K32" i="13"/>
  <c r="L32" i="13" s="1"/>
  <c r="J32" i="13"/>
  <c r="K16" i="13"/>
  <c r="L16" i="13" s="1"/>
  <c r="J16" i="13"/>
  <c r="J560" i="13"/>
  <c r="M560" i="13" s="1"/>
  <c r="J534" i="13"/>
  <c r="M534" i="13" s="1"/>
  <c r="J502" i="13"/>
  <c r="M502" i="13" s="1"/>
  <c r="J468" i="13"/>
  <c r="M468" i="13" s="1"/>
  <c r="J431" i="13"/>
  <c r="M431" i="13" s="1"/>
  <c r="J394" i="13"/>
  <c r="M394" i="13" s="1"/>
  <c r="J357" i="13"/>
  <c r="M357" i="13" s="1"/>
  <c r="J315" i="13"/>
  <c r="M315" i="13" s="1"/>
  <c r="J265" i="13"/>
  <c r="M265" i="13" s="1"/>
  <c r="J208" i="13"/>
  <c r="M208" i="13" s="1"/>
  <c r="J154" i="13"/>
  <c r="M154" i="13" s="1"/>
  <c r="J95" i="13"/>
  <c r="M95" i="13" s="1"/>
  <c r="J41" i="13"/>
  <c r="M41" i="13" s="1"/>
  <c r="K567" i="13"/>
  <c r="L567" i="13" s="1"/>
  <c r="K512" i="13"/>
  <c r="L512" i="13" s="1"/>
  <c r="M512" i="13" s="1"/>
  <c r="K448" i="13"/>
  <c r="L448" i="13" s="1"/>
  <c r="M448" i="13" s="1"/>
  <c r="K384" i="13"/>
  <c r="L384" i="13" s="1"/>
  <c r="M384" i="13" s="1"/>
  <c r="K320" i="13"/>
  <c r="L320" i="13" s="1"/>
  <c r="M320" i="13" s="1"/>
  <c r="K246" i="13"/>
  <c r="L246" i="13" s="1"/>
  <c r="K129" i="13"/>
  <c r="L129" i="13" s="1"/>
  <c r="J129" i="13"/>
  <c r="K287" i="13"/>
  <c r="L287" i="13" s="1"/>
  <c r="J287" i="13"/>
  <c r="K175" i="13"/>
  <c r="L175" i="13" s="1"/>
  <c r="J175" i="13"/>
  <c r="J465" i="13"/>
  <c r="M465" i="13" s="1"/>
  <c r="M355" i="13"/>
  <c r="K94" i="13"/>
  <c r="L94" i="13" s="1"/>
  <c r="J94" i="13"/>
  <c r="J589" i="13"/>
  <c r="M589" i="13" s="1"/>
  <c r="J558" i="13"/>
  <c r="M558" i="13" s="1"/>
  <c r="J526" i="13"/>
  <c r="M526" i="13" s="1"/>
  <c r="J499" i="13"/>
  <c r="M499" i="13" s="1"/>
  <c r="J463" i="13"/>
  <c r="M463" i="13" s="1"/>
  <c r="J426" i="13"/>
  <c r="M426" i="13" s="1"/>
  <c r="J390" i="13"/>
  <c r="M390" i="13" s="1"/>
  <c r="J351" i="13"/>
  <c r="M351" i="13" s="1"/>
  <c r="J256" i="13"/>
  <c r="M256" i="13" s="1"/>
  <c r="J203" i="13"/>
  <c r="M203" i="13" s="1"/>
  <c r="J144" i="13"/>
  <c r="M144" i="13" s="1"/>
  <c r="J90" i="13"/>
  <c r="M90" i="13" s="1"/>
  <c r="J31" i="13"/>
  <c r="M31" i="13" s="1"/>
  <c r="K436" i="13"/>
  <c r="L436" i="13" s="1"/>
  <c r="K372" i="13"/>
  <c r="L372" i="13" s="1"/>
  <c r="M372" i="13" s="1"/>
  <c r="K308" i="13"/>
  <c r="L308" i="13" s="1"/>
  <c r="M308" i="13" s="1"/>
  <c r="K240" i="13"/>
  <c r="L240" i="13" s="1"/>
  <c r="M240" i="13" s="1"/>
  <c r="K124" i="13"/>
  <c r="L124" i="13" s="1"/>
  <c r="M124" i="13" s="1"/>
  <c r="J257" i="13"/>
  <c r="K257" i="13"/>
  <c r="L257" i="13" s="1"/>
  <c r="K161" i="13"/>
  <c r="L161" i="13" s="1"/>
  <c r="J161" i="13"/>
  <c r="K113" i="13"/>
  <c r="L113" i="13" s="1"/>
  <c r="J113" i="13"/>
  <c r="K479" i="13"/>
  <c r="L479" i="13" s="1"/>
  <c r="J479" i="13"/>
  <c r="K111" i="13"/>
  <c r="L111" i="13" s="1"/>
  <c r="J111" i="13"/>
  <c r="K439" i="13"/>
  <c r="L439" i="13" s="1"/>
  <c r="M439" i="13" s="1"/>
  <c r="K375" i="13"/>
  <c r="L375" i="13" s="1"/>
  <c r="K494" i="13"/>
  <c r="L494" i="13" s="1"/>
  <c r="J494" i="13"/>
  <c r="K270" i="13"/>
  <c r="L270" i="13" s="1"/>
  <c r="J270" i="13"/>
  <c r="K222" i="13"/>
  <c r="L222" i="13" s="1"/>
  <c r="J222" i="13"/>
  <c r="K142" i="13"/>
  <c r="L142" i="13" s="1"/>
  <c r="J142" i="13"/>
  <c r="K110" i="13"/>
  <c r="L110" i="13" s="1"/>
  <c r="J110" i="13"/>
  <c r="K62" i="13"/>
  <c r="L62" i="13" s="1"/>
  <c r="J62" i="13"/>
  <c r="K46" i="13"/>
  <c r="L46" i="13" s="1"/>
  <c r="J46" i="13"/>
  <c r="K509" i="13"/>
  <c r="L509" i="13" s="1"/>
  <c r="J509" i="13"/>
  <c r="K477" i="13"/>
  <c r="L477" i="13" s="1"/>
  <c r="J477" i="13"/>
  <c r="K381" i="13"/>
  <c r="L381" i="13" s="1"/>
  <c r="J381" i="13"/>
  <c r="K365" i="13"/>
  <c r="L365" i="13" s="1"/>
  <c r="J365" i="13"/>
  <c r="K349" i="13"/>
  <c r="L349" i="13" s="1"/>
  <c r="J349" i="13"/>
  <c r="K333" i="13"/>
  <c r="L333" i="13" s="1"/>
  <c r="J333" i="13"/>
  <c r="K301" i="13"/>
  <c r="L301" i="13" s="1"/>
  <c r="J301" i="13"/>
  <c r="K285" i="13"/>
  <c r="L285" i="13" s="1"/>
  <c r="J285" i="13"/>
  <c r="K253" i="13"/>
  <c r="L253" i="13" s="1"/>
  <c r="J253" i="13"/>
  <c r="K237" i="13"/>
  <c r="L237" i="13" s="1"/>
  <c r="J237" i="13"/>
  <c r="K221" i="13"/>
  <c r="L221" i="13" s="1"/>
  <c r="J221" i="13"/>
  <c r="K205" i="13"/>
  <c r="L205" i="13" s="1"/>
  <c r="J205" i="13"/>
  <c r="J189" i="13"/>
  <c r="K189" i="13"/>
  <c r="L189" i="13" s="1"/>
  <c r="K141" i="13"/>
  <c r="L141" i="13" s="1"/>
  <c r="J141" i="13"/>
  <c r="K109" i="13"/>
  <c r="L109" i="13" s="1"/>
  <c r="J109" i="13"/>
  <c r="K29" i="13"/>
  <c r="L29" i="13" s="1"/>
  <c r="J29" i="13"/>
  <c r="J587" i="13"/>
  <c r="M587" i="13" s="1"/>
  <c r="J557" i="13"/>
  <c r="M557" i="13" s="1"/>
  <c r="J525" i="13"/>
  <c r="M525" i="13" s="1"/>
  <c r="J491" i="13"/>
  <c r="M491" i="13" s="1"/>
  <c r="J462" i="13"/>
  <c r="M462" i="13" s="1"/>
  <c r="J425" i="13"/>
  <c r="M425" i="13" s="1"/>
  <c r="J389" i="13"/>
  <c r="M389" i="13" s="1"/>
  <c r="J350" i="13"/>
  <c r="M350" i="13" s="1"/>
  <c r="J309" i="13"/>
  <c r="M309" i="13" s="1"/>
  <c r="J255" i="13"/>
  <c r="M255" i="13" s="1"/>
  <c r="J202" i="13"/>
  <c r="M202" i="13" s="1"/>
  <c r="J143" i="13"/>
  <c r="M143" i="13" s="1"/>
  <c r="J89" i="13"/>
  <c r="M89" i="13" s="1"/>
  <c r="J30" i="13"/>
  <c r="M30" i="13" s="1"/>
  <c r="K561" i="13"/>
  <c r="L561" i="13" s="1"/>
  <c r="M561" i="13" s="1"/>
  <c r="K435" i="13"/>
  <c r="L435" i="13" s="1"/>
  <c r="M435" i="13" s="1"/>
  <c r="K371" i="13"/>
  <c r="L371" i="13" s="1"/>
  <c r="M371" i="13" s="1"/>
  <c r="K307" i="13"/>
  <c r="L307" i="13" s="1"/>
  <c r="K233" i="13"/>
  <c r="L233" i="13" s="1"/>
  <c r="M233" i="13" s="1"/>
  <c r="K122" i="13"/>
  <c r="L122" i="13" s="1"/>
  <c r="M122" i="13" s="1"/>
  <c r="J305" i="13"/>
  <c r="K305" i="13"/>
  <c r="L305" i="13" s="1"/>
  <c r="K177" i="13"/>
  <c r="L177" i="13" s="1"/>
  <c r="J177" i="13"/>
  <c r="K527" i="13"/>
  <c r="L527" i="13" s="1"/>
  <c r="J527" i="13"/>
  <c r="K207" i="13"/>
  <c r="L207" i="13" s="1"/>
  <c r="J207" i="13"/>
  <c r="K79" i="13"/>
  <c r="L79" i="13" s="1"/>
  <c r="J79" i="13"/>
  <c r="M500" i="13"/>
  <c r="K446" i="13"/>
  <c r="L446" i="13" s="1"/>
  <c r="J446" i="13"/>
  <c r="K430" i="13"/>
  <c r="L430" i="13" s="1"/>
  <c r="J430" i="13"/>
  <c r="K366" i="13"/>
  <c r="L366" i="13" s="1"/>
  <c r="J366" i="13"/>
  <c r="K78" i="13"/>
  <c r="L78" i="13" s="1"/>
  <c r="J78" i="13"/>
  <c r="K493" i="13"/>
  <c r="L493" i="13" s="1"/>
  <c r="J493" i="13"/>
  <c r="K461" i="13"/>
  <c r="L461" i="13" s="1"/>
  <c r="J461" i="13"/>
  <c r="M461" i="13" s="1"/>
  <c r="J588" i="13"/>
  <c r="K588" i="13"/>
  <c r="L588" i="13" s="1"/>
  <c r="J572" i="13"/>
  <c r="K572" i="13"/>
  <c r="L572" i="13" s="1"/>
  <c r="J556" i="13"/>
  <c r="K556" i="13"/>
  <c r="L556" i="13" s="1"/>
  <c r="J540" i="13"/>
  <c r="K540" i="13"/>
  <c r="L540" i="13" s="1"/>
  <c r="J524" i="13"/>
  <c r="K524" i="13"/>
  <c r="L524" i="13" s="1"/>
  <c r="J508" i="13"/>
  <c r="K508" i="13"/>
  <c r="L508" i="13" s="1"/>
  <c r="J492" i="13"/>
  <c r="K492" i="13"/>
  <c r="L492" i="13" s="1"/>
  <c r="J476" i="13"/>
  <c r="K476" i="13"/>
  <c r="L476" i="13" s="1"/>
  <c r="J460" i="13"/>
  <c r="K460" i="13"/>
  <c r="L460" i="13" s="1"/>
  <c r="J444" i="13"/>
  <c r="K444" i="13"/>
  <c r="L444" i="13" s="1"/>
  <c r="J428" i="13"/>
  <c r="K428" i="13"/>
  <c r="L428" i="13" s="1"/>
  <c r="J412" i="13"/>
  <c r="K412" i="13"/>
  <c r="L412" i="13" s="1"/>
  <c r="J396" i="13"/>
  <c r="K396" i="13"/>
  <c r="L396" i="13" s="1"/>
  <c r="J380" i="13"/>
  <c r="K380" i="13"/>
  <c r="L380" i="13" s="1"/>
  <c r="J364" i="13"/>
  <c r="K364" i="13"/>
  <c r="L364" i="13" s="1"/>
  <c r="J348" i="13"/>
  <c r="K348" i="13"/>
  <c r="L348" i="13" s="1"/>
  <c r="J332" i="13"/>
  <c r="K332" i="13"/>
  <c r="L332" i="13" s="1"/>
  <c r="J316" i="13"/>
  <c r="K316" i="13"/>
  <c r="L316" i="13" s="1"/>
  <c r="J300" i="13"/>
  <c r="K300" i="13"/>
  <c r="L300" i="13" s="1"/>
  <c r="J284" i="13"/>
  <c r="K284" i="13"/>
  <c r="L284" i="13" s="1"/>
  <c r="J268" i="13"/>
  <c r="K268" i="13"/>
  <c r="L268" i="13" s="1"/>
  <c r="J252" i="13"/>
  <c r="K252" i="13"/>
  <c r="L252" i="13" s="1"/>
  <c r="J236" i="13"/>
  <c r="K236" i="13"/>
  <c r="L236" i="13" s="1"/>
  <c r="J220" i="13"/>
  <c r="K220" i="13"/>
  <c r="L220" i="13" s="1"/>
  <c r="J204" i="13"/>
  <c r="K204" i="13"/>
  <c r="L204" i="13" s="1"/>
  <c r="J188" i="13"/>
  <c r="K188" i="13"/>
  <c r="L188" i="13" s="1"/>
  <c r="J172" i="13"/>
  <c r="K172" i="13"/>
  <c r="L172" i="13" s="1"/>
  <c r="M156" i="13"/>
  <c r="J140" i="13"/>
  <c r="K140" i="13"/>
  <c r="L140" i="13" s="1"/>
  <c r="J108" i="13"/>
  <c r="K108" i="13"/>
  <c r="L108" i="13" s="1"/>
  <c r="K92" i="13"/>
  <c r="L92" i="13" s="1"/>
  <c r="J92" i="13"/>
  <c r="J76" i="13"/>
  <c r="K76" i="13"/>
  <c r="L76" i="13" s="1"/>
  <c r="J28" i="13"/>
  <c r="K28" i="13"/>
  <c r="L28" i="13" s="1"/>
  <c r="J12" i="13"/>
  <c r="K12" i="13"/>
  <c r="L12" i="13" s="1"/>
  <c r="J586" i="13"/>
  <c r="M586" i="13" s="1"/>
  <c r="J555" i="13"/>
  <c r="M555" i="13" s="1"/>
  <c r="J523" i="13"/>
  <c r="M523" i="13" s="1"/>
  <c r="J489" i="13"/>
  <c r="M489" i="13" s="1"/>
  <c r="J455" i="13"/>
  <c r="M455" i="13" s="1"/>
  <c r="J419" i="13"/>
  <c r="M419" i="13" s="1"/>
  <c r="J382" i="13"/>
  <c r="M382" i="13" s="1"/>
  <c r="J343" i="13"/>
  <c r="M343" i="13" s="1"/>
  <c r="J298" i="13"/>
  <c r="M298" i="13" s="1"/>
  <c r="J248" i="13"/>
  <c r="M248" i="13" s="1"/>
  <c r="J190" i="13"/>
  <c r="M190" i="13" s="1"/>
  <c r="J136" i="13"/>
  <c r="M136" i="13" s="1"/>
  <c r="J77" i="13"/>
  <c r="M77" i="13" s="1"/>
  <c r="J23" i="13"/>
  <c r="M23" i="13" s="1"/>
  <c r="K548" i="13"/>
  <c r="L548" i="13" s="1"/>
  <c r="K486" i="13"/>
  <c r="L486" i="13" s="1"/>
  <c r="M486" i="13" s="1"/>
  <c r="K422" i="13"/>
  <c r="L422" i="13" s="1"/>
  <c r="M422" i="13" s="1"/>
  <c r="K294" i="13"/>
  <c r="L294" i="13" s="1"/>
  <c r="M294" i="13" s="1"/>
  <c r="K224" i="13"/>
  <c r="L224" i="13" s="1"/>
  <c r="M224" i="13" s="1"/>
  <c r="K88" i="13"/>
  <c r="L88" i="13" s="1"/>
  <c r="M88" i="13" s="1"/>
  <c r="J209" i="13"/>
  <c r="K209" i="13"/>
  <c r="L209" i="13" s="1"/>
  <c r="K65" i="13"/>
  <c r="L65" i="13" s="1"/>
  <c r="J65" i="13"/>
  <c r="J559" i="13"/>
  <c r="M559" i="13" s="1"/>
  <c r="K478" i="13"/>
  <c r="L478" i="13" s="1"/>
  <c r="J478" i="13"/>
  <c r="M478" i="13" s="1"/>
  <c r="K302" i="13"/>
  <c r="L302" i="13" s="1"/>
  <c r="J302" i="13"/>
  <c r="K254" i="13"/>
  <c r="L254" i="13" s="1"/>
  <c r="J254" i="13"/>
  <c r="K475" i="13"/>
  <c r="L475" i="13" s="1"/>
  <c r="J475" i="13"/>
  <c r="K459" i="13"/>
  <c r="L459" i="13" s="1"/>
  <c r="J459" i="13"/>
  <c r="K427" i="13"/>
  <c r="L427" i="13" s="1"/>
  <c r="J427" i="13"/>
  <c r="M427" i="13" s="1"/>
  <c r="K411" i="13"/>
  <c r="L411" i="13" s="1"/>
  <c r="J411" i="13"/>
  <c r="K363" i="13"/>
  <c r="L363" i="13" s="1"/>
  <c r="J363" i="13"/>
  <c r="K347" i="13"/>
  <c r="L347" i="13" s="1"/>
  <c r="J347" i="13"/>
  <c r="M347" i="13" s="1"/>
  <c r="K299" i="13"/>
  <c r="L299" i="13" s="1"/>
  <c r="J299" i="13"/>
  <c r="K251" i="13"/>
  <c r="L251" i="13" s="1"/>
  <c r="J251" i="13"/>
  <c r="K171" i="13"/>
  <c r="L171" i="13" s="1"/>
  <c r="J171" i="13"/>
  <c r="K139" i="13"/>
  <c r="L139" i="13" s="1"/>
  <c r="J139" i="13"/>
  <c r="K123" i="13"/>
  <c r="L123" i="13" s="1"/>
  <c r="J123" i="13"/>
  <c r="M123" i="13" s="1"/>
  <c r="K107" i="13"/>
  <c r="L107" i="13" s="1"/>
  <c r="J107" i="13"/>
  <c r="K91" i="13"/>
  <c r="L91" i="13" s="1"/>
  <c r="J91" i="13"/>
  <c r="K75" i="13"/>
  <c r="L75" i="13" s="1"/>
  <c r="J75" i="13"/>
  <c r="M75" i="13" s="1"/>
  <c r="K27" i="13"/>
  <c r="L27" i="13" s="1"/>
  <c r="J27" i="13"/>
  <c r="J585" i="13"/>
  <c r="M585" i="13" s="1"/>
  <c r="J554" i="13"/>
  <c r="M554" i="13" s="1"/>
  <c r="J522" i="13"/>
  <c r="M522" i="13" s="1"/>
  <c r="J488" i="13"/>
  <c r="M488" i="13" s="1"/>
  <c r="J453" i="13"/>
  <c r="M453" i="13" s="1"/>
  <c r="J416" i="13"/>
  <c r="M416" i="13" s="1"/>
  <c r="J379" i="13"/>
  <c r="M379" i="13" s="1"/>
  <c r="J341" i="13"/>
  <c r="M341" i="13" s="1"/>
  <c r="J296" i="13"/>
  <c r="M296" i="13" s="1"/>
  <c r="J245" i="13"/>
  <c r="M245" i="13" s="1"/>
  <c r="J187" i="13"/>
  <c r="M187" i="13" s="1"/>
  <c r="J128" i="13"/>
  <c r="M128" i="13" s="1"/>
  <c r="J74" i="13"/>
  <c r="M74" i="13" s="1"/>
  <c r="J15" i="13"/>
  <c r="M15" i="13" s="1"/>
  <c r="K546" i="13"/>
  <c r="L546" i="13" s="1"/>
  <c r="M546" i="13" s="1"/>
  <c r="K483" i="13"/>
  <c r="L483" i="13" s="1"/>
  <c r="M483" i="13" s="1"/>
  <c r="K290" i="13"/>
  <c r="L290" i="13" s="1"/>
  <c r="K85" i="13"/>
  <c r="L85" i="13" s="1"/>
  <c r="M85" i="13" s="1"/>
  <c r="K17" i="13"/>
  <c r="L17" i="13" s="1"/>
  <c r="J17" i="13"/>
  <c r="K346" i="13"/>
  <c r="L346" i="13" s="1"/>
  <c r="J346" i="13"/>
  <c r="K218" i="13"/>
  <c r="L218" i="13" s="1"/>
  <c r="J218" i="13"/>
  <c r="K138" i="13"/>
  <c r="L138" i="13" s="1"/>
  <c r="J138" i="13"/>
  <c r="K58" i="13"/>
  <c r="L58" i="13" s="1"/>
  <c r="J58" i="13"/>
  <c r="K26" i="13"/>
  <c r="L26" i="13" s="1"/>
  <c r="J26" i="13"/>
  <c r="J10" i="13"/>
  <c r="K10" i="13"/>
  <c r="L10" i="13" s="1"/>
  <c r="J579" i="13"/>
  <c r="M579" i="13" s="1"/>
  <c r="J552" i="13"/>
  <c r="M552" i="13" s="1"/>
  <c r="J521" i="13"/>
  <c r="M521" i="13" s="1"/>
  <c r="J487" i="13"/>
  <c r="M487" i="13" s="1"/>
  <c r="J452" i="13"/>
  <c r="M452" i="13" s="1"/>
  <c r="J415" i="13"/>
  <c r="M415" i="13" s="1"/>
  <c r="J378" i="13"/>
  <c r="M378" i="13" s="1"/>
  <c r="J340" i="13"/>
  <c r="M340" i="13" s="1"/>
  <c r="J295" i="13"/>
  <c r="M295" i="13" s="1"/>
  <c r="J186" i="13"/>
  <c r="M186" i="13" s="1"/>
  <c r="J127" i="13"/>
  <c r="M127" i="13" s="1"/>
  <c r="J73" i="13"/>
  <c r="M73" i="13" s="1"/>
  <c r="J14" i="13"/>
  <c r="M14" i="13" s="1"/>
  <c r="K545" i="13"/>
  <c r="L545" i="13" s="1"/>
  <c r="M545" i="13" s="1"/>
  <c r="K482" i="13"/>
  <c r="L482" i="13" s="1"/>
  <c r="M482" i="13" s="1"/>
  <c r="K418" i="13"/>
  <c r="L418" i="13" s="1"/>
  <c r="M418" i="13" s="1"/>
  <c r="K354" i="13"/>
  <c r="L354" i="13" s="1"/>
  <c r="K289" i="13"/>
  <c r="L289" i="13" s="1"/>
  <c r="M289" i="13" s="1"/>
  <c r="K214" i="13"/>
  <c r="L214" i="13" s="1"/>
  <c r="M214" i="13" s="1"/>
  <c r="K83" i="13"/>
  <c r="L83" i="13" s="1"/>
  <c r="M83" i="13" s="1"/>
  <c r="K49" i="13"/>
  <c r="L49" i="13" s="1"/>
  <c r="J49" i="13"/>
  <c r="K383" i="13"/>
  <c r="L383" i="13" s="1"/>
  <c r="J383" i="13"/>
  <c r="K474" i="13"/>
  <c r="L474" i="13" s="1"/>
  <c r="J474" i="13"/>
  <c r="K442" i="13"/>
  <c r="L442" i="13" s="1"/>
  <c r="J442" i="13"/>
  <c r="K314" i="13"/>
  <c r="L314" i="13" s="1"/>
  <c r="J314" i="13"/>
  <c r="K250" i="13"/>
  <c r="L250" i="13" s="1"/>
  <c r="J250" i="13"/>
  <c r="M250" i="13" s="1"/>
  <c r="K234" i="13"/>
  <c r="L234" i="13" s="1"/>
  <c r="J234" i="13"/>
  <c r="K553" i="13"/>
  <c r="L553" i="13" s="1"/>
  <c r="J553" i="13"/>
  <c r="K457" i="13"/>
  <c r="L457" i="13" s="1"/>
  <c r="J457" i="13"/>
  <c r="K441" i="13"/>
  <c r="L441" i="13" s="1"/>
  <c r="J441" i="13"/>
  <c r="K409" i="13"/>
  <c r="L409" i="13" s="1"/>
  <c r="J409" i="13"/>
  <c r="J393" i="13"/>
  <c r="K393" i="13"/>
  <c r="L393" i="13" s="1"/>
  <c r="J361" i="13"/>
  <c r="K361" i="13"/>
  <c r="L361" i="13" s="1"/>
  <c r="K345" i="13"/>
  <c r="L345" i="13" s="1"/>
  <c r="J345" i="13"/>
  <c r="M345" i="13" s="1"/>
  <c r="K329" i="13"/>
  <c r="L329" i="13" s="1"/>
  <c r="J329" i="13"/>
  <c r="J297" i="13"/>
  <c r="K297" i="13"/>
  <c r="L297" i="13" s="1"/>
  <c r="J201" i="13"/>
  <c r="K201" i="13"/>
  <c r="L201" i="13" s="1"/>
  <c r="K169" i="13"/>
  <c r="L169" i="13" s="1"/>
  <c r="J169" i="13"/>
  <c r="K153" i="13"/>
  <c r="L153" i="13" s="1"/>
  <c r="J153" i="13"/>
  <c r="K137" i="13"/>
  <c r="L137" i="13" s="1"/>
  <c r="J137" i="13"/>
  <c r="K121" i="13"/>
  <c r="L121" i="13" s="1"/>
  <c r="J121" i="13"/>
  <c r="M121" i="13" s="1"/>
  <c r="K105" i="13"/>
  <c r="L105" i="13" s="1"/>
  <c r="J105" i="13"/>
  <c r="K57" i="13"/>
  <c r="L57" i="13" s="1"/>
  <c r="J57" i="13"/>
  <c r="M57" i="13" s="1"/>
  <c r="K25" i="13"/>
  <c r="L25" i="13" s="1"/>
  <c r="J25" i="13"/>
  <c r="J577" i="13"/>
  <c r="M577" i="13" s="1"/>
  <c r="J551" i="13"/>
  <c r="M551" i="13" s="1"/>
  <c r="J520" i="13"/>
  <c r="M520" i="13" s="1"/>
  <c r="J451" i="13"/>
  <c r="M451" i="13" s="1"/>
  <c r="J414" i="13"/>
  <c r="M414" i="13" s="1"/>
  <c r="J377" i="13"/>
  <c r="M377" i="13" s="1"/>
  <c r="J339" i="13"/>
  <c r="M339" i="13" s="1"/>
  <c r="J293" i="13"/>
  <c r="M293" i="13" s="1"/>
  <c r="J239" i="13"/>
  <c r="M239" i="13" s="1"/>
  <c r="J185" i="13"/>
  <c r="M185" i="13" s="1"/>
  <c r="J126" i="13"/>
  <c r="M126" i="13" s="1"/>
  <c r="J72" i="13"/>
  <c r="M72" i="13" s="1"/>
  <c r="J13" i="13"/>
  <c r="M13" i="13" s="1"/>
  <c r="K544" i="13"/>
  <c r="L544" i="13" s="1"/>
  <c r="M544" i="13" s="1"/>
  <c r="K481" i="13"/>
  <c r="L481" i="13" s="1"/>
  <c r="M481" i="13" s="1"/>
  <c r="K417" i="13"/>
  <c r="L417" i="13" s="1"/>
  <c r="M417" i="13" s="1"/>
  <c r="K353" i="13"/>
  <c r="L353" i="13" s="1"/>
  <c r="M353" i="13" s="1"/>
  <c r="K288" i="13"/>
  <c r="L288" i="13" s="1"/>
  <c r="M288" i="13" s="1"/>
  <c r="K211" i="13"/>
  <c r="L211" i="13" s="1"/>
  <c r="M211" i="13" s="1"/>
  <c r="K67" i="13"/>
  <c r="L67" i="13" s="1"/>
  <c r="K497" i="13"/>
  <c r="L497" i="13" s="1"/>
  <c r="J497" i="13"/>
  <c r="K33" i="13"/>
  <c r="L33" i="13" s="1"/>
  <c r="J33" i="13"/>
  <c r="K511" i="13"/>
  <c r="L511" i="13" s="1"/>
  <c r="J511" i="13"/>
  <c r="K472" i="13"/>
  <c r="L472" i="13" s="1"/>
  <c r="J472" i="13"/>
  <c r="K456" i="13"/>
  <c r="L456" i="13" s="1"/>
  <c r="J456" i="13"/>
  <c r="K440" i="13"/>
  <c r="L440" i="13" s="1"/>
  <c r="J440" i="13"/>
  <c r="K424" i="13"/>
  <c r="L424" i="13" s="1"/>
  <c r="J424" i="13"/>
  <c r="K344" i="13"/>
  <c r="L344" i="13" s="1"/>
  <c r="J344" i="13"/>
  <c r="M344" i="13" s="1"/>
  <c r="K328" i="13"/>
  <c r="L328" i="13" s="1"/>
  <c r="J328" i="13"/>
  <c r="K312" i="13"/>
  <c r="L312" i="13" s="1"/>
  <c r="J312" i="13"/>
  <c r="K280" i="13"/>
  <c r="L280" i="13" s="1"/>
  <c r="J280" i="13"/>
  <c r="K264" i="13"/>
  <c r="L264" i="13" s="1"/>
  <c r="J264" i="13"/>
  <c r="K200" i="13"/>
  <c r="L200" i="13" s="1"/>
  <c r="J200" i="13"/>
  <c r="K168" i="13"/>
  <c r="L168" i="13" s="1"/>
  <c r="J168" i="13"/>
  <c r="K56" i="13"/>
  <c r="L56" i="13" s="1"/>
  <c r="J56" i="13"/>
  <c r="K40" i="13"/>
  <c r="L40" i="13" s="1"/>
  <c r="J40" i="13"/>
  <c r="J24" i="13"/>
  <c r="K24" i="13"/>
  <c r="L24" i="13" s="1"/>
  <c r="J576" i="13"/>
  <c r="M576" i="13" s="1"/>
  <c r="J518" i="13"/>
  <c r="M518" i="13" s="1"/>
  <c r="J485" i="13"/>
  <c r="M485" i="13" s="1"/>
  <c r="J413" i="13"/>
  <c r="M413" i="13" s="1"/>
  <c r="J376" i="13"/>
  <c r="M376" i="13" s="1"/>
  <c r="J336" i="13"/>
  <c r="M336" i="13" s="1"/>
  <c r="J238" i="13"/>
  <c r="M238" i="13" s="1"/>
  <c r="J184" i="13"/>
  <c r="M184" i="13" s="1"/>
  <c r="J125" i="13"/>
  <c r="M125" i="13" s="1"/>
  <c r="J71" i="13"/>
  <c r="M71" i="13" s="1"/>
  <c r="J11" i="13"/>
  <c r="M11" i="13" s="1"/>
  <c r="K537" i="13"/>
  <c r="L537" i="13" s="1"/>
  <c r="M537" i="13" s="1"/>
  <c r="K480" i="13"/>
  <c r="L480" i="13" s="1"/>
  <c r="M480" i="13" s="1"/>
  <c r="K352" i="13"/>
  <c r="L352" i="13" s="1"/>
  <c r="M352" i="13" s="1"/>
  <c r="K281" i="13"/>
  <c r="L281" i="13" s="1"/>
  <c r="M281" i="13" s="1"/>
  <c r="K210" i="13"/>
  <c r="L210" i="13" s="1"/>
  <c r="M210" i="13" s="1"/>
  <c r="K60" i="13"/>
  <c r="L60" i="13" s="1"/>
  <c r="M60" i="13" s="1"/>
  <c r="J401" i="13"/>
  <c r="K401" i="13"/>
  <c r="L401" i="13" s="1"/>
  <c r="J225" i="13"/>
  <c r="K225" i="13"/>
  <c r="L225" i="13" s="1"/>
  <c r="K97" i="13"/>
  <c r="L97" i="13" s="1"/>
  <c r="J97" i="13"/>
  <c r="K367" i="13"/>
  <c r="L367" i="13" s="1"/>
  <c r="J367" i="13"/>
  <c r="K570" i="13"/>
  <c r="L570" i="13" s="1"/>
  <c r="J570" i="13"/>
  <c r="K490" i="13"/>
  <c r="L490" i="13" s="1"/>
  <c r="J490" i="13"/>
  <c r="M567" i="13"/>
  <c r="M375" i="13"/>
  <c r="K183" i="13"/>
  <c r="L183" i="13" s="1"/>
  <c r="J183" i="13"/>
  <c r="K167" i="13"/>
  <c r="L167" i="13" s="1"/>
  <c r="J167" i="13"/>
  <c r="K151" i="13"/>
  <c r="L151" i="13" s="1"/>
  <c r="J151" i="13"/>
  <c r="K135" i="13"/>
  <c r="L135" i="13" s="1"/>
  <c r="J135" i="13"/>
  <c r="M135" i="13" s="1"/>
  <c r="K87" i="13"/>
  <c r="L87" i="13" s="1"/>
  <c r="J87" i="13"/>
  <c r="K55" i="13"/>
  <c r="L55" i="13" s="1"/>
  <c r="J55" i="13"/>
  <c r="J575" i="13"/>
  <c r="M575" i="13" s="1"/>
  <c r="J543" i="13"/>
  <c r="M543" i="13" s="1"/>
  <c r="J517" i="13"/>
  <c r="M517" i="13" s="1"/>
  <c r="J484" i="13"/>
  <c r="M484" i="13" s="1"/>
  <c r="J447" i="13"/>
  <c r="M447" i="13" s="1"/>
  <c r="J410" i="13"/>
  <c r="M410" i="13" s="1"/>
  <c r="J374" i="13"/>
  <c r="M374" i="13" s="1"/>
  <c r="J334" i="13"/>
  <c r="M334" i="13" s="1"/>
  <c r="J286" i="13"/>
  <c r="M286" i="13" s="1"/>
  <c r="J235" i="13"/>
  <c r="M235" i="13" s="1"/>
  <c r="J176" i="13"/>
  <c r="M176" i="13" s="1"/>
  <c r="J63" i="13"/>
  <c r="M63" i="13" s="1"/>
  <c r="J9" i="13"/>
  <c r="M9" i="13" s="1"/>
  <c r="K471" i="13"/>
  <c r="L471" i="13" s="1"/>
  <c r="M471" i="13" s="1"/>
  <c r="K407" i="13"/>
  <c r="L407" i="13" s="1"/>
  <c r="M407" i="13" s="1"/>
  <c r="K278" i="13"/>
  <c r="L278" i="13" s="1"/>
  <c r="M278" i="13" s="1"/>
  <c r="K53" i="13"/>
  <c r="L53" i="13" s="1"/>
  <c r="M53" i="13" s="1"/>
  <c r="J438" i="13"/>
  <c r="K438" i="13"/>
  <c r="L438" i="13" s="1"/>
  <c r="J406" i="13"/>
  <c r="K406" i="13"/>
  <c r="L406" i="13" s="1"/>
  <c r="J342" i="13"/>
  <c r="K342" i="13"/>
  <c r="L342" i="13" s="1"/>
  <c r="J310" i="13"/>
  <c r="K310" i="13"/>
  <c r="L310" i="13" s="1"/>
  <c r="J262" i="13"/>
  <c r="K262" i="13"/>
  <c r="L262" i="13" s="1"/>
  <c r="M246" i="13"/>
  <c r="J230" i="13"/>
  <c r="K230" i="13"/>
  <c r="L230" i="13" s="1"/>
  <c r="K182" i="13"/>
  <c r="L182" i="13" s="1"/>
  <c r="J182" i="13"/>
  <c r="K166" i="13"/>
  <c r="L166" i="13" s="1"/>
  <c r="J166" i="13"/>
  <c r="K150" i="13"/>
  <c r="L150" i="13" s="1"/>
  <c r="J150" i="13"/>
  <c r="J118" i="13"/>
  <c r="K118" i="13"/>
  <c r="L118" i="13" s="1"/>
  <c r="J102" i="13"/>
  <c r="K102" i="13"/>
  <c r="L102" i="13" s="1"/>
  <c r="J86" i="13"/>
  <c r="K86" i="13"/>
  <c r="L86" i="13" s="1"/>
  <c r="K70" i="13"/>
  <c r="L70" i="13" s="1"/>
  <c r="J70" i="13"/>
  <c r="J54" i="13"/>
  <c r="K54" i="13"/>
  <c r="L54" i="13" s="1"/>
  <c r="K38" i="13"/>
  <c r="L38" i="13" s="1"/>
  <c r="J38" i="13"/>
  <c r="K22" i="13"/>
  <c r="L22" i="13" s="1"/>
  <c r="J22" i="13"/>
  <c r="K6" i="13"/>
  <c r="L6" i="13" s="1"/>
  <c r="J6" i="13"/>
  <c r="J574" i="13"/>
  <c r="M574" i="13" s="1"/>
  <c r="J542" i="13"/>
  <c r="M542" i="13" s="1"/>
  <c r="J510" i="13"/>
  <c r="M510" i="13" s="1"/>
  <c r="J445" i="13"/>
  <c r="M445" i="13" s="1"/>
  <c r="J408" i="13"/>
  <c r="M408" i="13" s="1"/>
  <c r="J331" i="13"/>
  <c r="M331" i="13" s="1"/>
  <c r="J283" i="13"/>
  <c r="M283" i="13" s="1"/>
  <c r="J174" i="13"/>
  <c r="M174" i="13" s="1"/>
  <c r="J120" i="13"/>
  <c r="M120" i="13" s="1"/>
  <c r="J61" i="13"/>
  <c r="M61" i="13" s="1"/>
  <c r="J7" i="13"/>
  <c r="M7" i="13" s="1"/>
  <c r="K532" i="13"/>
  <c r="L532" i="13" s="1"/>
  <c r="M532" i="13" s="1"/>
  <c r="K404" i="13"/>
  <c r="L404" i="13" s="1"/>
  <c r="M404" i="13" s="1"/>
  <c r="K274" i="13"/>
  <c r="L274" i="13" s="1"/>
  <c r="M274" i="13" s="1"/>
  <c r="K199" i="13"/>
  <c r="L199" i="13" s="1"/>
  <c r="M199" i="13" s="1"/>
  <c r="K45" i="13"/>
  <c r="L45" i="13" s="1"/>
  <c r="M45" i="13" s="1"/>
  <c r="J337" i="13"/>
  <c r="K337" i="13"/>
  <c r="L337" i="13" s="1"/>
  <c r="K145" i="13"/>
  <c r="L145" i="13" s="1"/>
  <c r="J145" i="13"/>
  <c r="K223" i="13"/>
  <c r="L223" i="13" s="1"/>
  <c r="J223" i="13"/>
  <c r="K159" i="13"/>
  <c r="L159" i="13" s="1"/>
  <c r="J159" i="13"/>
  <c r="K584" i="13"/>
  <c r="L584" i="13" s="1"/>
  <c r="J584" i="13"/>
  <c r="K536" i="13"/>
  <c r="L536" i="13" s="1"/>
  <c r="J536" i="13"/>
  <c r="K279" i="13"/>
  <c r="L279" i="13" s="1"/>
  <c r="J279" i="13"/>
  <c r="K421" i="13"/>
  <c r="L421" i="13" s="1"/>
  <c r="J421" i="13"/>
  <c r="K405" i="13"/>
  <c r="L405" i="13" s="1"/>
  <c r="J405" i="13"/>
  <c r="K373" i="13"/>
  <c r="L373" i="13" s="1"/>
  <c r="J373" i="13"/>
  <c r="K325" i="13"/>
  <c r="L325" i="13" s="1"/>
  <c r="J325" i="13"/>
  <c r="K277" i="13"/>
  <c r="L277" i="13" s="1"/>
  <c r="J277" i="13"/>
  <c r="K261" i="13"/>
  <c r="L261" i="13" s="1"/>
  <c r="J261" i="13"/>
  <c r="K229" i="13"/>
  <c r="L229" i="13" s="1"/>
  <c r="J229" i="13"/>
  <c r="K213" i="13"/>
  <c r="L213" i="13" s="1"/>
  <c r="J213" i="13"/>
  <c r="K197" i="13"/>
  <c r="L197" i="13" s="1"/>
  <c r="J197" i="13"/>
  <c r="K181" i="13"/>
  <c r="L181" i="13" s="1"/>
  <c r="J181" i="13"/>
  <c r="J165" i="13"/>
  <c r="K165" i="13"/>
  <c r="L165" i="13" s="1"/>
  <c r="K149" i="13"/>
  <c r="L149" i="13" s="1"/>
  <c r="J149" i="13"/>
  <c r="J133" i="13"/>
  <c r="K133" i="13"/>
  <c r="L133" i="13" s="1"/>
  <c r="J117" i="13"/>
  <c r="K117" i="13"/>
  <c r="L117" i="13" s="1"/>
  <c r="K101" i="13"/>
  <c r="L101" i="13" s="1"/>
  <c r="J101" i="13"/>
  <c r="K69" i="13"/>
  <c r="L69" i="13" s="1"/>
  <c r="J69" i="13"/>
  <c r="K37" i="13"/>
  <c r="L37" i="13" s="1"/>
  <c r="J37" i="13"/>
  <c r="K21" i="13"/>
  <c r="L21" i="13" s="1"/>
  <c r="J21" i="13"/>
  <c r="J573" i="13"/>
  <c r="M573" i="13" s="1"/>
  <c r="J541" i="13"/>
  <c r="M541" i="13" s="1"/>
  <c r="J507" i="13"/>
  <c r="M507" i="13" s="1"/>
  <c r="J443" i="13"/>
  <c r="M443" i="13" s="1"/>
  <c r="J330" i="13"/>
  <c r="M330" i="13" s="1"/>
  <c r="J282" i="13"/>
  <c r="M282" i="13" s="1"/>
  <c r="J232" i="13"/>
  <c r="M232" i="13" s="1"/>
  <c r="J173" i="13"/>
  <c r="M173" i="13" s="1"/>
  <c r="J119" i="13"/>
  <c r="M119" i="13" s="1"/>
  <c r="J59" i="13"/>
  <c r="M59" i="13" s="1"/>
  <c r="K531" i="13"/>
  <c r="L531" i="13" s="1"/>
  <c r="M531" i="13" s="1"/>
  <c r="K467" i="13"/>
  <c r="L467" i="13" s="1"/>
  <c r="M467" i="13" s="1"/>
  <c r="K403" i="13"/>
  <c r="L403" i="13" s="1"/>
  <c r="K273" i="13"/>
  <c r="L273" i="13" s="1"/>
  <c r="M273" i="13" s="1"/>
  <c r="K198" i="13"/>
  <c r="L198" i="13" s="1"/>
  <c r="M198" i="13" s="1"/>
  <c r="K44" i="13"/>
  <c r="L44" i="13" s="1"/>
  <c r="M44" i="13" s="1"/>
  <c r="J241" i="13"/>
  <c r="K241" i="13"/>
  <c r="L241" i="13" s="1"/>
  <c r="K399" i="13"/>
  <c r="L399" i="13" s="1"/>
  <c r="J399" i="13"/>
  <c r="K335" i="13"/>
  <c r="L335" i="13" s="1"/>
  <c r="J335" i="13"/>
  <c r="K583" i="13"/>
  <c r="L583" i="13" s="1"/>
  <c r="J583" i="13"/>
  <c r="K519" i="13"/>
  <c r="L519" i="13" s="1"/>
  <c r="J519" i="13"/>
  <c r="K423" i="13"/>
  <c r="L423" i="13" s="1"/>
  <c r="J423" i="13"/>
  <c r="K391" i="13"/>
  <c r="L391" i="13" s="1"/>
  <c r="J391" i="13"/>
  <c r="K327" i="13"/>
  <c r="L327" i="13" s="1"/>
  <c r="J327" i="13"/>
  <c r="K582" i="13"/>
  <c r="L582" i="13" s="1"/>
  <c r="J582" i="13"/>
  <c r="M582" i="13" s="1"/>
  <c r="K550" i="13"/>
  <c r="L550" i="13" s="1"/>
  <c r="J550" i="13"/>
  <c r="K581" i="13"/>
  <c r="L581" i="13" s="1"/>
  <c r="J581" i="13"/>
  <c r="K565" i="13"/>
  <c r="L565" i="13" s="1"/>
  <c r="J565" i="13"/>
  <c r="M565" i="13" s="1"/>
  <c r="K549" i="13"/>
  <c r="L549" i="13" s="1"/>
  <c r="J549" i="13"/>
  <c r="K533" i="13"/>
  <c r="L533" i="13" s="1"/>
  <c r="J533" i="13"/>
  <c r="K501" i="13"/>
  <c r="L501" i="13" s="1"/>
  <c r="J501" i="13"/>
  <c r="J580" i="13"/>
  <c r="K580" i="13"/>
  <c r="L580" i="13" s="1"/>
  <c r="M564" i="13"/>
  <c r="M548" i="13"/>
  <c r="K516" i="13"/>
  <c r="L516" i="13" s="1"/>
  <c r="J516" i="13"/>
  <c r="M436" i="13"/>
  <c r="K420" i="13"/>
  <c r="L420" i="13" s="1"/>
  <c r="J420" i="13"/>
  <c r="M420" i="13" s="1"/>
  <c r="K388" i="13"/>
  <c r="L388" i="13" s="1"/>
  <c r="J388" i="13"/>
  <c r="J356" i="13"/>
  <c r="K356" i="13"/>
  <c r="L356" i="13" s="1"/>
  <c r="J292" i="13"/>
  <c r="K292" i="13"/>
  <c r="L292" i="13" s="1"/>
  <c r="J276" i="13"/>
  <c r="K276" i="13"/>
  <c r="L276" i="13" s="1"/>
  <c r="J260" i="13"/>
  <c r="K260" i="13"/>
  <c r="L260" i="13" s="1"/>
  <c r="J244" i="13"/>
  <c r="K244" i="13"/>
  <c r="L244" i="13" s="1"/>
  <c r="J228" i="13"/>
  <c r="K228" i="13"/>
  <c r="L228" i="13" s="1"/>
  <c r="J212" i="13"/>
  <c r="K212" i="13"/>
  <c r="L212" i="13" s="1"/>
  <c r="J196" i="13"/>
  <c r="K196" i="13"/>
  <c r="L196" i="13" s="1"/>
  <c r="K180" i="13"/>
  <c r="L180" i="13" s="1"/>
  <c r="J180" i="13"/>
  <c r="K164" i="13"/>
  <c r="L164" i="13" s="1"/>
  <c r="J164" i="13"/>
  <c r="K148" i="13"/>
  <c r="L148" i="13" s="1"/>
  <c r="J148" i="13"/>
  <c r="M148" i="13" s="1"/>
  <c r="K132" i="13"/>
  <c r="L132" i="13" s="1"/>
  <c r="J132" i="13"/>
  <c r="K116" i="13"/>
  <c r="L116" i="13" s="1"/>
  <c r="J116" i="13"/>
  <c r="K100" i="13"/>
  <c r="L100" i="13" s="1"/>
  <c r="J100" i="13"/>
  <c r="K84" i="13"/>
  <c r="L84" i="13" s="1"/>
  <c r="J84" i="13"/>
  <c r="K68" i="13"/>
  <c r="L68" i="13" s="1"/>
  <c r="J68" i="13"/>
  <c r="K52" i="13"/>
  <c r="L52" i="13" s="1"/>
  <c r="J52" i="13"/>
  <c r="K36" i="13"/>
  <c r="L36" i="13" s="1"/>
  <c r="J36" i="13"/>
  <c r="K20" i="13"/>
  <c r="L20" i="13" s="1"/>
  <c r="J20" i="13"/>
  <c r="M20" i="13" s="1"/>
  <c r="J571" i="13"/>
  <c r="M571" i="13" s="1"/>
  <c r="J539" i="13"/>
  <c r="M539" i="13" s="1"/>
  <c r="J506" i="13"/>
  <c r="M506" i="13" s="1"/>
  <c r="J473" i="13"/>
  <c r="M473" i="13" s="1"/>
  <c r="J437" i="13"/>
  <c r="M437" i="13" s="1"/>
  <c r="J400" i="13"/>
  <c r="M400" i="13" s="1"/>
  <c r="J362" i="13"/>
  <c r="M362" i="13" s="1"/>
  <c r="J324" i="13"/>
  <c r="M324" i="13" s="1"/>
  <c r="J271" i="13"/>
  <c r="M271" i="13" s="1"/>
  <c r="J219" i="13"/>
  <c r="M219" i="13" s="1"/>
  <c r="J160" i="13"/>
  <c r="M160" i="13" s="1"/>
  <c r="J106" i="13"/>
  <c r="M106" i="13" s="1"/>
  <c r="J47" i="13"/>
  <c r="M47" i="13" s="1"/>
  <c r="K578" i="13"/>
  <c r="L578" i="13" s="1"/>
  <c r="M578" i="13" s="1"/>
  <c r="K454" i="13"/>
  <c r="L454" i="13" s="1"/>
  <c r="M454" i="13" s="1"/>
  <c r="K326" i="13"/>
  <c r="L326" i="13" s="1"/>
  <c r="M326" i="13" s="1"/>
  <c r="K258" i="13"/>
  <c r="L258" i="13" s="1"/>
  <c r="M258" i="13" s="1"/>
  <c r="K170" i="13"/>
  <c r="L170" i="13" s="1"/>
  <c r="M170" i="13" s="1"/>
  <c r="K8" i="13"/>
  <c r="L8" i="13" s="1"/>
  <c r="M8" i="13" s="1"/>
  <c r="K303" i="13"/>
  <c r="L303" i="13" s="1"/>
  <c r="J303" i="13"/>
  <c r="K458" i="13"/>
  <c r="L458" i="13" s="1"/>
  <c r="J458" i="13"/>
  <c r="J563" i="13"/>
  <c r="K563" i="13"/>
  <c r="L563" i="13" s="1"/>
  <c r="K547" i="13"/>
  <c r="L547" i="13" s="1"/>
  <c r="J547" i="13"/>
  <c r="M403" i="13"/>
  <c r="M307" i="13"/>
  <c r="J291" i="13"/>
  <c r="K291" i="13"/>
  <c r="L291" i="13" s="1"/>
  <c r="J275" i="13"/>
  <c r="K275" i="13"/>
  <c r="L275" i="13" s="1"/>
  <c r="J259" i="13"/>
  <c r="K259" i="13"/>
  <c r="L259" i="13" s="1"/>
  <c r="J243" i="13"/>
  <c r="K243" i="13"/>
  <c r="L243" i="13" s="1"/>
  <c r="J227" i="13"/>
  <c r="K227" i="13"/>
  <c r="L227" i="13" s="1"/>
  <c r="J195" i="13"/>
  <c r="K195" i="13"/>
  <c r="L195" i="13" s="1"/>
  <c r="K179" i="13"/>
  <c r="L179" i="13" s="1"/>
  <c r="J179" i="13"/>
  <c r="K147" i="13"/>
  <c r="L147" i="13" s="1"/>
  <c r="J147" i="13"/>
  <c r="K131" i="13"/>
  <c r="L131" i="13" s="1"/>
  <c r="J131" i="13"/>
  <c r="J115" i="13"/>
  <c r="K115" i="13"/>
  <c r="L115" i="13" s="1"/>
  <c r="J99" i="13"/>
  <c r="K99" i="13"/>
  <c r="L99" i="13" s="1"/>
  <c r="M67" i="13"/>
  <c r="J51" i="13"/>
  <c r="K51" i="13"/>
  <c r="L51" i="13" s="1"/>
  <c r="K35" i="13"/>
  <c r="L35" i="13" s="1"/>
  <c r="J35" i="13"/>
  <c r="J19" i="13"/>
  <c r="K19" i="13"/>
  <c r="L19" i="13" s="1"/>
  <c r="J569" i="13"/>
  <c r="M569" i="13" s="1"/>
  <c r="J538" i="13"/>
  <c r="M538" i="13" s="1"/>
  <c r="J505" i="13"/>
  <c r="M505" i="13" s="1"/>
  <c r="J398" i="13"/>
  <c r="M398" i="13" s="1"/>
  <c r="J360" i="13"/>
  <c r="M360" i="13" s="1"/>
  <c r="J319" i="13"/>
  <c r="M319" i="13" s="1"/>
  <c r="J269" i="13"/>
  <c r="M269" i="13" s="1"/>
  <c r="J217" i="13"/>
  <c r="M217" i="13" s="1"/>
  <c r="J158" i="13"/>
  <c r="M158" i="13" s="1"/>
  <c r="J104" i="13"/>
  <c r="M104" i="13" s="1"/>
  <c r="K515" i="13"/>
  <c r="L515" i="13" s="1"/>
  <c r="M515" i="13" s="1"/>
  <c r="K387" i="13"/>
  <c r="L387" i="13" s="1"/>
  <c r="M387" i="13" s="1"/>
  <c r="K323" i="13"/>
  <c r="L323" i="13" s="1"/>
  <c r="M323" i="13" s="1"/>
  <c r="K163" i="13"/>
  <c r="L163" i="13" s="1"/>
  <c r="M163" i="13" s="1"/>
  <c r="K495" i="13"/>
  <c r="L495" i="13" s="1"/>
  <c r="J495" i="13"/>
  <c r="K191" i="13"/>
  <c r="L191" i="13" s="1"/>
  <c r="J191" i="13"/>
  <c r="K231" i="13"/>
  <c r="L231" i="13" s="1"/>
  <c r="J231" i="13"/>
  <c r="K566" i="13"/>
  <c r="L566" i="13" s="1"/>
  <c r="J566" i="13"/>
  <c r="J530" i="13"/>
  <c r="K530" i="13"/>
  <c r="L530" i="13" s="1"/>
  <c r="J498" i="13"/>
  <c r="K498" i="13"/>
  <c r="L498" i="13" s="1"/>
  <c r="J466" i="13"/>
  <c r="K466" i="13"/>
  <c r="L466" i="13" s="1"/>
  <c r="J434" i="13"/>
  <c r="K434" i="13"/>
  <c r="L434" i="13" s="1"/>
  <c r="J402" i="13"/>
  <c r="K402" i="13"/>
  <c r="L402" i="13" s="1"/>
  <c r="J370" i="13"/>
  <c r="K370" i="13"/>
  <c r="L370" i="13" s="1"/>
  <c r="M354" i="13"/>
  <c r="J338" i="13"/>
  <c r="K338" i="13"/>
  <c r="L338" i="13" s="1"/>
  <c r="J306" i="13"/>
  <c r="K306" i="13"/>
  <c r="L306" i="13" s="1"/>
  <c r="M290" i="13"/>
  <c r="M242" i="13"/>
  <c r="J226" i="13"/>
  <c r="K226" i="13"/>
  <c r="L226" i="13" s="1"/>
  <c r="K194" i="13"/>
  <c r="L194" i="13" s="1"/>
  <c r="J194" i="13"/>
  <c r="K178" i="13"/>
  <c r="L178" i="13" s="1"/>
  <c r="J178" i="13"/>
  <c r="K162" i="13"/>
  <c r="L162" i="13" s="1"/>
  <c r="J162" i="13"/>
  <c r="M162" i="13" s="1"/>
  <c r="K146" i="13"/>
  <c r="L146" i="13" s="1"/>
  <c r="J146" i="13"/>
  <c r="K130" i="13"/>
  <c r="L130" i="13" s="1"/>
  <c r="J130" i="13"/>
  <c r="K114" i="13"/>
  <c r="L114" i="13" s="1"/>
  <c r="J114" i="13"/>
  <c r="K98" i="13"/>
  <c r="L98" i="13" s="1"/>
  <c r="J98" i="13"/>
  <c r="K82" i="13"/>
  <c r="L82" i="13" s="1"/>
  <c r="J82" i="13"/>
  <c r="K66" i="13"/>
  <c r="L66" i="13" s="1"/>
  <c r="J66" i="13"/>
  <c r="K50" i="13"/>
  <c r="L50" i="13" s="1"/>
  <c r="J50" i="13"/>
  <c r="K34" i="13"/>
  <c r="L34" i="13" s="1"/>
  <c r="J34" i="13"/>
  <c r="M34" i="13" s="1"/>
  <c r="K18" i="13"/>
  <c r="L18" i="13" s="1"/>
  <c r="J18" i="13"/>
  <c r="J504" i="13"/>
  <c r="M504" i="13" s="1"/>
  <c r="J470" i="13"/>
  <c r="M470" i="13" s="1"/>
  <c r="J433" i="13"/>
  <c r="M433" i="13" s="1"/>
  <c r="J397" i="13"/>
  <c r="M397" i="13" s="1"/>
  <c r="J359" i="13"/>
  <c r="M359" i="13" s="1"/>
  <c r="J318" i="13"/>
  <c r="M318" i="13" s="1"/>
  <c r="J267" i="13"/>
  <c r="M267" i="13" s="1"/>
  <c r="J216" i="13"/>
  <c r="M216" i="13" s="1"/>
  <c r="J157" i="13"/>
  <c r="M157" i="13" s="1"/>
  <c r="J103" i="13"/>
  <c r="M103" i="13" s="1"/>
  <c r="J43" i="13"/>
  <c r="M43" i="13" s="1"/>
  <c r="K514" i="13"/>
  <c r="L514" i="13" s="1"/>
  <c r="M514" i="13" s="1"/>
  <c r="K450" i="13"/>
  <c r="L450" i="13" s="1"/>
  <c r="M450" i="13" s="1"/>
  <c r="K386" i="13"/>
  <c r="L386" i="13" s="1"/>
  <c r="M386" i="13" s="1"/>
  <c r="K322" i="13"/>
  <c r="L322" i="13" s="1"/>
  <c r="M322" i="13" s="1"/>
  <c r="K249" i="13"/>
  <c r="L249" i="13" s="1"/>
  <c r="M249" i="13" s="1"/>
  <c r="K8" i="5"/>
  <c r="K25" i="5"/>
  <c r="K24" i="5"/>
  <c r="K23" i="5"/>
  <c r="K16" i="5"/>
  <c r="K15" i="5"/>
  <c r="K14" i="5"/>
  <c r="M130" i="13" l="1"/>
  <c r="M327" i="13"/>
  <c r="M21" i="13"/>
  <c r="M391" i="13"/>
  <c r="M37" i="13"/>
  <c r="M477" i="13"/>
  <c r="M494" i="13"/>
  <c r="M94" i="13"/>
  <c r="M101" i="13"/>
  <c r="M229" i="13"/>
  <c r="M536" i="13"/>
  <c r="M56" i="13"/>
  <c r="M424" i="13"/>
  <c r="M479" i="13"/>
  <c r="M287" i="13"/>
  <c r="M580" i="13"/>
  <c r="M165" i="13"/>
  <c r="M192" i="13"/>
  <c r="M495" i="13"/>
  <c r="M52" i="13"/>
  <c r="M180" i="13"/>
  <c r="M423" i="13"/>
  <c r="M183" i="13"/>
  <c r="M58" i="13"/>
  <c r="M16" i="13"/>
  <c r="M304" i="13"/>
  <c r="M291" i="13"/>
  <c r="M166" i="13"/>
  <c r="M24" i="13"/>
  <c r="M409" i="13"/>
  <c r="M474" i="13"/>
  <c r="M366" i="13"/>
  <c r="M237" i="13"/>
  <c r="M335" i="13"/>
  <c r="M55" i="13"/>
  <c r="M570" i="13"/>
  <c r="M566" i="13"/>
  <c r="M516" i="13"/>
  <c r="M196" i="13"/>
  <c r="M388" i="13"/>
  <c r="M406" i="13"/>
  <c r="M328" i="13"/>
  <c r="M393" i="13"/>
  <c r="M65" i="13"/>
  <c r="M236" i="13"/>
  <c r="M364" i="13"/>
  <c r="M492" i="13"/>
  <c r="M177" i="13"/>
  <c r="M205" i="13"/>
  <c r="M365" i="13"/>
  <c r="M222" i="13"/>
  <c r="M272" i="13"/>
  <c r="M212" i="13"/>
  <c r="M108" i="13"/>
  <c r="M508" i="13"/>
  <c r="M100" i="13"/>
  <c r="M438" i="13"/>
  <c r="M169" i="13"/>
  <c r="M209" i="13"/>
  <c r="M305" i="13"/>
  <c r="M32" i="13"/>
  <c r="M368" i="13"/>
  <c r="M252" i="13"/>
  <c r="M50" i="13"/>
  <c r="M178" i="13"/>
  <c r="M275" i="13"/>
  <c r="M117" i="13"/>
  <c r="M48" i="13"/>
  <c r="M380" i="13"/>
  <c r="M244" i="13"/>
  <c r="M550" i="13"/>
  <c r="M277" i="13"/>
  <c r="M159" i="13"/>
  <c r="M230" i="13"/>
  <c r="M168" i="13"/>
  <c r="M440" i="13"/>
  <c r="M201" i="13"/>
  <c r="M284" i="13"/>
  <c r="M412" i="13"/>
  <c r="M540" i="13"/>
  <c r="M66" i="13"/>
  <c r="M194" i="13"/>
  <c r="M132" i="13"/>
  <c r="M87" i="13"/>
  <c r="M553" i="13"/>
  <c r="M17" i="13"/>
  <c r="M171" i="13"/>
  <c r="M475" i="13"/>
  <c r="M446" i="13"/>
  <c r="M464" i="13"/>
  <c r="M193" i="13"/>
  <c r="M82" i="13"/>
  <c r="M80" i="13"/>
  <c r="M179" i="13"/>
  <c r="M79" i="13"/>
  <c r="M109" i="13"/>
  <c r="M301" i="13"/>
  <c r="M62" i="13"/>
  <c r="M226" i="13"/>
  <c r="M292" i="13"/>
  <c r="M501" i="13"/>
  <c r="M181" i="13"/>
  <c r="M405" i="13"/>
  <c r="M280" i="13"/>
  <c r="M511" i="13"/>
  <c r="M10" i="13"/>
  <c r="M547" i="13"/>
  <c r="M6" i="13"/>
  <c r="M401" i="13"/>
  <c r="M361" i="13"/>
  <c r="M142" i="13"/>
  <c r="M161" i="13"/>
  <c r="M498" i="13"/>
  <c r="M276" i="13"/>
  <c r="M195" i="13"/>
  <c r="M338" i="13"/>
  <c r="M51" i="13"/>
  <c r="M36" i="13"/>
  <c r="M164" i="13"/>
  <c r="M241" i="13"/>
  <c r="M373" i="13"/>
  <c r="M145" i="13"/>
  <c r="M86" i="13"/>
  <c r="M490" i="13"/>
  <c r="M40" i="13"/>
  <c r="M497" i="13"/>
  <c r="M153" i="13"/>
  <c r="M442" i="13"/>
  <c r="M26" i="13"/>
  <c r="M27" i="13"/>
  <c r="M299" i="13"/>
  <c r="M302" i="13"/>
  <c r="M12" i="13"/>
  <c r="M172" i="13"/>
  <c r="M300" i="13"/>
  <c r="M428" i="13"/>
  <c r="M556" i="13"/>
  <c r="M29" i="13"/>
  <c r="M285" i="13"/>
  <c r="M46" i="13"/>
  <c r="M111" i="13"/>
  <c r="M175" i="13"/>
  <c r="M64" i="13"/>
  <c r="M227" i="13"/>
  <c r="M102" i="13"/>
  <c r="M316" i="13"/>
  <c r="M99" i="13"/>
  <c r="M243" i="13"/>
  <c r="M68" i="13"/>
  <c r="M356" i="13"/>
  <c r="M533" i="13"/>
  <c r="M197" i="13"/>
  <c r="M421" i="13"/>
  <c r="M118" i="13"/>
  <c r="M367" i="13"/>
  <c r="M441" i="13"/>
  <c r="M383" i="13"/>
  <c r="M138" i="13"/>
  <c r="M91" i="13"/>
  <c r="M363" i="13"/>
  <c r="M204" i="13"/>
  <c r="M332" i="13"/>
  <c r="M460" i="13"/>
  <c r="M588" i="13"/>
  <c r="M207" i="13"/>
  <c r="M141" i="13"/>
  <c r="M333" i="13"/>
  <c r="M110" i="13"/>
  <c r="M113" i="13"/>
  <c r="M129" i="13"/>
  <c r="M112" i="13"/>
  <c r="M81" i="13"/>
  <c r="M28" i="13"/>
  <c r="M496" i="13"/>
  <c r="M530" i="13"/>
  <c r="M402" i="13"/>
  <c r="M115" i="13"/>
  <c r="M259" i="13"/>
  <c r="M563" i="13"/>
  <c r="M84" i="13"/>
  <c r="M549" i="13"/>
  <c r="M69" i="13"/>
  <c r="M213" i="13"/>
  <c r="M279" i="13"/>
  <c r="M150" i="13"/>
  <c r="M310" i="13"/>
  <c r="M97" i="13"/>
  <c r="M25" i="13"/>
  <c r="M457" i="13"/>
  <c r="M49" i="13"/>
  <c r="M107" i="13"/>
  <c r="M411" i="13"/>
  <c r="M76" i="13"/>
  <c r="M220" i="13"/>
  <c r="M348" i="13"/>
  <c r="M476" i="13"/>
  <c r="M527" i="13"/>
  <c r="M349" i="13"/>
  <c r="M572" i="13"/>
  <c r="M98" i="13"/>
  <c r="M231" i="13"/>
  <c r="M131" i="13"/>
  <c r="M458" i="13"/>
  <c r="M519" i="13"/>
  <c r="M22" i="13"/>
  <c r="M151" i="13"/>
  <c r="M200" i="13"/>
  <c r="M456" i="13"/>
  <c r="M218" i="13"/>
  <c r="M92" i="13"/>
  <c r="M493" i="13"/>
  <c r="M189" i="13"/>
  <c r="M370" i="13"/>
  <c r="M262" i="13"/>
  <c r="M188" i="13"/>
  <c r="M337" i="13"/>
  <c r="M114" i="13"/>
  <c r="M434" i="13"/>
  <c r="M191" i="13"/>
  <c r="M147" i="13"/>
  <c r="M303" i="13"/>
  <c r="M228" i="13"/>
  <c r="M583" i="13"/>
  <c r="M38" i="13"/>
  <c r="M342" i="13"/>
  <c r="M167" i="13"/>
  <c r="M225" i="13"/>
  <c r="M264" i="13"/>
  <c r="M472" i="13"/>
  <c r="M297" i="13"/>
  <c r="M346" i="13"/>
  <c r="M78" i="13"/>
  <c r="M257" i="13"/>
  <c r="M369" i="13"/>
  <c r="M116" i="13"/>
  <c r="M581" i="13"/>
  <c r="M261" i="13"/>
  <c r="M584" i="13"/>
  <c r="M182" i="13"/>
  <c r="M105" i="13"/>
  <c r="M329" i="13"/>
  <c r="M234" i="13"/>
  <c r="M139" i="13"/>
  <c r="M459" i="13"/>
  <c r="M221" i="13"/>
  <c r="M381" i="13"/>
  <c r="M270" i="13"/>
  <c r="M444" i="13"/>
  <c r="M529" i="13"/>
  <c r="M19" i="13"/>
  <c r="M54" i="13"/>
  <c r="M268" i="13"/>
  <c r="M396" i="13"/>
  <c r="M524" i="13"/>
  <c r="M466" i="13"/>
  <c r="M18" i="13"/>
  <c r="M146" i="13"/>
  <c r="M306" i="13"/>
  <c r="M35" i="13"/>
  <c r="M260" i="13"/>
  <c r="M399" i="13"/>
  <c r="M133" i="13"/>
  <c r="M70" i="13"/>
  <c r="M312" i="13"/>
  <c r="M33" i="13"/>
  <c r="M140" i="13"/>
  <c r="M430" i="13"/>
  <c r="M149" i="13"/>
  <c r="M325" i="13"/>
  <c r="M223" i="13"/>
  <c r="M137" i="13"/>
  <c r="M314" i="13"/>
  <c r="M251" i="13"/>
  <c r="M254" i="13"/>
  <c r="M253" i="13"/>
  <c r="M509" i="13"/>
  <c r="K26" i="5"/>
  <c r="K10" i="5" s="1"/>
  <c r="K17" i="5"/>
  <c r="K9" i="5" s="1"/>
  <c r="A96" i="19"/>
  <c r="A97" i="19"/>
  <c r="A98" i="19"/>
  <c r="A99" i="19"/>
  <c r="A100" i="19"/>
  <c r="A101" i="19"/>
  <c r="A102" i="19"/>
  <c r="A103" i="19"/>
  <c r="A104" i="19"/>
  <c r="A105" i="19"/>
  <c r="A106" i="19"/>
  <c r="A107" i="19"/>
  <c r="A108" i="19"/>
  <c r="A109" i="19"/>
  <c r="A95" i="19"/>
  <c r="A110" i="19"/>
  <c r="A111" i="19"/>
  <c r="A112" i="19"/>
  <c r="A113" i="19"/>
  <c r="A114" i="19"/>
  <c r="A115" i="19"/>
  <c r="A116" i="19"/>
  <c r="A117" i="19"/>
  <c r="A118" i="19"/>
  <c r="A119"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D2" i="19"/>
  <c r="B120" i="19"/>
  <c r="G5" i="13"/>
  <c r="H5" i="13"/>
  <c r="I5" i="13" s="1"/>
  <c r="J5" i="13" l="1"/>
  <c r="K5" i="13"/>
  <c r="L5" i="13" s="1"/>
  <c r="M5" i="13" l="1"/>
  <c r="A425" i="13"/>
  <c r="A426" i="13"/>
  <c r="A427" i="13"/>
  <c r="A428" i="13"/>
  <c r="A429"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324" i="13"/>
  <c r="A325" i="13"/>
  <c r="A326" i="13"/>
  <c r="A327" i="13"/>
  <c r="A328" i="13"/>
  <c r="A329" i="13"/>
  <c r="A330" i="13"/>
  <c r="A331" i="13"/>
  <c r="A332" i="13"/>
  <c r="A333" i="13"/>
  <c r="A334" i="13"/>
  <c r="A335" i="13"/>
  <c r="A336" i="13"/>
  <c r="A337" i="13"/>
  <c r="A338" i="13"/>
  <c r="A339" i="13"/>
  <c r="A340" i="13"/>
  <c r="A341" i="13"/>
  <c r="A342" i="13"/>
  <c r="A343" i="13"/>
  <c r="A344" i="13"/>
  <c r="A345" i="13"/>
  <c r="A346" i="13"/>
  <c r="A347" i="13"/>
  <c r="A348" i="13"/>
  <c r="A349" i="13"/>
  <c r="A350" i="13"/>
  <c r="A351" i="13"/>
  <c r="A352" i="13"/>
  <c r="A353" i="13"/>
  <c r="A354" i="13"/>
  <c r="A355" i="13"/>
  <c r="A356" i="13"/>
  <c r="A357" i="13"/>
  <c r="A358" i="13"/>
  <c r="A359" i="13"/>
  <c r="A360" i="13"/>
  <c r="A361" i="13"/>
  <c r="A362" i="13"/>
  <c r="A363" i="13"/>
  <c r="A364" i="13"/>
  <c r="A365" i="13"/>
  <c r="A366" i="13"/>
  <c r="A367" i="13"/>
  <c r="A368" i="13"/>
  <c r="A369" i="13"/>
  <c r="A370" i="13"/>
  <c r="A371" i="13"/>
  <c r="A372" i="13"/>
  <c r="A373" i="13"/>
  <c r="A374" i="13"/>
  <c r="A375" i="13"/>
  <c r="A376" i="13"/>
  <c r="A377" i="13"/>
  <c r="A378" i="13"/>
  <c r="A379" i="13"/>
  <c r="A380" i="13"/>
  <c r="A381" i="13"/>
  <c r="A382" i="13"/>
  <c r="A383" i="13"/>
  <c r="A384" i="13"/>
  <c r="A385" i="13"/>
  <c r="A386" i="13"/>
  <c r="A387" i="13"/>
  <c r="A388" i="13"/>
  <c r="A389" i="13"/>
  <c r="A390" i="13"/>
  <c r="A391" i="13"/>
  <c r="A392" i="13"/>
  <c r="A393" i="13"/>
  <c r="A394" i="13"/>
  <c r="A395" i="13"/>
  <c r="A396" i="13"/>
  <c r="A397" i="13"/>
  <c r="A398" i="13"/>
  <c r="A399" i="13"/>
  <c r="A400" i="13"/>
  <c r="A401" i="13"/>
  <c r="A402" i="13"/>
  <c r="A403" i="13"/>
  <c r="A404" i="13"/>
  <c r="A405" i="13"/>
  <c r="A406" i="13"/>
  <c r="A407" i="13"/>
  <c r="A408" i="13"/>
  <c r="A409" i="13"/>
  <c r="A410" i="13"/>
  <c r="A411" i="13"/>
  <c r="A412" i="13"/>
  <c r="A413" i="13"/>
  <c r="A414" i="13"/>
  <c r="A415" i="13"/>
  <c r="A416" i="13"/>
  <c r="A417" i="13"/>
  <c r="A418" i="13"/>
  <c r="A419" i="13"/>
  <c r="A420" i="13"/>
  <c r="A421" i="13"/>
  <c r="A422" i="13"/>
  <c r="A423" i="13"/>
  <c r="A424" i="13"/>
  <c r="A2" i="20"/>
  <c r="D2" i="20" s="1"/>
  <c r="A3" i="20"/>
  <c r="D3" i="20" s="1"/>
  <c r="A4" i="20"/>
  <c r="D4" i="20" s="1"/>
  <c r="A5" i="20"/>
  <c r="C5" i="20" s="1"/>
  <c r="A6" i="20"/>
  <c r="D6" i="20" s="1"/>
  <c r="A7" i="20"/>
  <c r="C7" i="20" s="1"/>
  <c r="A8" i="20"/>
  <c r="D8" i="20" s="1"/>
  <c r="A9" i="20"/>
  <c r="D9" i="20" s="1"/>
  <c r="A10" i="20"/>
  <c r="C10" i="20" s="1"/>
  <c r="A11" i="20"/>
  <c r="D11" i="20" s="1"/>
  <c r="F2" i="19"/>
  <c r="A5" i="13"/>
  <c r="O6" i="13"/>
  <c r="O7" i="13" s="1"/>
  <c r="C6" i="24"/>
  <c r="C7" i="24"/>
  <c r="C8" i="24"/>
  <c r="C9" i="24"/>
  <c r="C10" i="24"/>
  <c r="C11" i="24"/>
  <c r="C12" i="24"/>
  <c r="C5" i="24"/>
  <c r="C4" i="24"/>
  <c r="A1" i="20"/>
  <c r="D1" i="20" s="1"/>
  <c r="P5" i="13"/>
  <c r="G100" i="18"/>
  <c r="G101" i="18"/>
  <c r="G102" i="18"/>
  <c r="G103" i="18"/>
  <c r="G104" i="18"/>
  <c r="G105" i="18"/>
  <c r="G106" i="18"/>
  <c r="G107" i="18"/>
  <c r="G108" i="18"/>
  <c r="G109" i="18"/>
  <c r="F9" i="5"/>
  <c r="G9" i="5"/>
  <c r="F10" i="5"/>
  <c r="G10" i="5"/>
  <c r="F11" i="5"/>
  <c r="G11" i="5"/>
  <c r="F12" i="5"/>
  <c r="G12" i="5"/>
  <c r="F13" i="5"/>
  <c r="G13" i="5"/>
  <c r="F14" i="5"/>
  <c r="G14" i="5"/>
  <c r="F15" i="5"/>
  <c r="G15" i="5"/>
  <c r="F16" i="5"/>
  <c r="G16" i="5"/>
  <c r="G8" i="5"/>
  <c r="F8" i="5"/>
  <c r="D61" i="21"/>
  <c r="E61" i="21"/>
  <c r="F209" i="3"/>
  <c r="E209" i="3"/>
  <c r="D209" i="3"/>
  <c r="A209" i="3"/>
  <c r="C209" i="3" s="1"/>
  <c r="F208" i="3"/>
  <c r="E208" i="3"/>
  <c r="D208" i="3"/>
  <c r="A208" i="3"/>
  <c r="B208" i="3" s="1"/>
  <c r="F207" i="3"/>
  <c r="E207" i="3"/>
  <c r="D207" i="3"/>
  <c r="A207" i="3"/>
  <c r="C207" i="3" s="1"/>
  <c r="F206" i="3"/>
  <c r="E206" i="3"/>
  <c r="D206" i="3"/>
  <c r="A206" i="3"/>
  <c r="B206" i="3" s="1"/>
  <c r="F205" i="3"/>
  <c r="E205" i="3"/>
  <c r="D205" i="3"/>
  <c r="A205" i="3"/>
  <c r="C205" i="3" s="1"/>
  <c r="F204" i="3"/>
  <c r="E204" i="3"/>
  <c r="D204" i="3"/>
  <c r="A204" i="3"/>
  <c r="C204" i="3" s="1"/>
  <c r="F203" i="3"/>
  <c r="E203" i="3"/>
  <c r="D203" i="3"/>
  <c r="A203" i="3"/>
  <c r="B203" i="3" s="1"/>
  <c r="F202" i="3"/>
  <c r="E202" i="3"/>
  <c r="D202" i="3"/>
  <c r="A202" i="3"/>
  <c r="C202" i="3" s="1"/>
  <c r="F201" i="3"/>
  <c r="E201" i="3"/>
  <c r="D201" i="3"/>
  <c r="A201" i="3"/>
  <c r="C201" i="3" s="1"/>
  <c r="F200" i="3"/>
  <c r="E200" i="3"/>
  <c r="D200" i="3"/>
  <c r="A200" i="3"/>
  <c r="C200" i="3" s="1"/>
  <c r="F199" i="3"/>
  <c r="E199" i="3"/>
  <c r="D199" i="3"/>
  <c r="A199" i="3"/>
  <c r="C199" i="3" s="1"/>
  <c r="F198" i="3"/>
  <c r="E198" i="3"/>
  <c r="D198" i="3"/>
  <c r="A198" i="3"/>
  <c r="C198" i="3" s="1"/>
  <c r="F197" i="3"/>
  <c r="E197" i="3"/>
  <c r="D197" i="3"/>
  <c r="A197" i="3"/>
  <c r="B197" i="3" s="1"/>
  <c r="F196" i="3"/>
  <c r="E196" i="3"/>
  <c r="D196" i="3"/>
  <c r="A196" i="3"/>
  <c r="B196" i="3" s="1"/>
  <c r="F195" i="3"/>
  <c r="E195" i="3"/>
  <c r="D195" i="3"/>
  <c r="A195" i="3"/>
  <c r="C195" i="3" s="1"/>
  <c r="F194" i="3"/>
  <c r="E194" i="3"/>
  <c r="D194" i="3"/>
  <c r="A194" i="3"/>
  <c r="B194" i="3" s="1"/>
  <c r="F193" i="3"/>
  <c r="E193" i="3"/>
  <c r="D193" i="3"/>
  <c r="A193" i="3"/>
  <c r="B193" i="3" s="1"/>
  <c r="F192" i="3"/>
  <c r="E192" i="3"/>
  <c r="D192" i="3"/>
  <c r="A192" i="3"/>
  <c r="C192" i="3" s="1"/>
  <c r="F191" i="3"/>
  <c r="E191" i="3"/>
  <c r="D191" i="3"/>
  <c r="A191" i="3"/>
  <c r="C191" i="3" s="1"/>
  <c r="F190" i="3"/>
  <c r="E190" i="3"/>
  <c r="D190" i="3"/>
  <c r="A190" i="3"/>
  <c r="C190" i="3" s="1"/>
  <c r="F189" i="3"/>
  <c r="E189" i="3"/>
  <c r="D189" i="3"/>
  <c r="A189" i="3"/>
  <c r="B189" i="3" s="1"/>
  <c r="F188" i="3"/>
  <c r="E188" i="3"/>
  <c r="D188" i="3"/>
  <c r="A188" i="3"/>
  <c r="C188" i="3" s="1"/>
  <c r="F187" i="3"/>
  <c r="E187" i="3"/>
  <c r="D187" i="3"/>
  <c r="A187" i="3"/>
  <c r="B187" i="3" s="1"/>
  <c r="F186" i="3"/>
  <c r="E186" i="3"/>
  <c r="D186" i="3"/>
  <c r="A186" i="3"/>
  <c r="B186" i="3" s="1"/>
  <c r="F185" i="3"/>
  <c r="E185" i="3"/>
  <c r="D185" i="3"/>
  <c r="A185" i="3"/>
  <c r="C185" i="3" s="1"/>
  <c r="F184" i="3"/>
  <c r="E184" i="3"/>
  <c r="D184" i="3"/>
  <c r="A184" i="3"/>
  <c r="C184" i="3" s="1"/>
  <c r="F183" i="3"/>
  <c r="E183" i="3"/>
  <c r="D183" i="3"/>
  <c r="A183" i="3"/>
  <c r="C183" i="3" s="1"/>
  <c r="F182" i="3"/>
  <c r="E182" i="3"/>
  <c r="D182" i="3"/>
  <c r="A182" i="3"/>
  <c r="B182" i="3" s="1"/>
  <c r="F181" i="3"/>
  <c r="E181" i="3"/>
  <c r="D181" i="3"/>
  <c r="A181" i="3"/>
  <c r="C181" i="3" s="1"/>
  <c r="F180" i="3"/>
  <c r="E180" i="3"/>
  <c r="D180" i="3"/>
  <c r="A180" i="3"/>
  <c r="B180" i="3" s="1"/>
  <c r="F179" i="3"/>
  <c r="E179" i="3"/>
  <c r="D179" i="3"/>
  <c r="A179" i="3"/>
  <c r="B179" i="3" s="1"/>
  <c r="F178" i="3"/>
  <c r="E178" i="3"/>
  <c r="D178" i="3"/>
  <c r="A178" i="3"/>
  <c r="C178" i="3" s="1"/>
  <c r="F177" i="3"/>
  <c r="E177" i="3"/>
  <c r="D177" i="3"/>
  <c r="A177" i="3"/>
  <c r="C177" i="3" s="1"/>
  <c r="F176" i="3"/>
  <c r="E176" i="3"/>
  <c r="D176" i="3"/>
  <c r="A176" i="3"/>
  <c r="C176" i="3" s="1"/>
  <c r="F175" i="3"/>
  <c r="E175" i="3"/>
  <c r="D175" i="3"/>
  <c r="A175" i="3"/>
  <c r="C175" i="3" s="1"/>
  <c r="F174" i="3"/>
  <c r="E174" i="3"/>
  <c r="D174" i="3"/>
  <c r="A174" i="3"/>
  <c r="C174" i="3" s="1"/>
  <c r="F173" i="3"/>
  <c r="E173" i="3"/>
  <c r="D173" i="3"/>
  <c r="A173" i="3"/>
  <c r="B173" i="3" s="1"/>
  <c r="F172" i="3"/>
  <c r="E172" i="3"/>
  <c r="D172" i="3"/>
  <c r="A172" i="3"/>
  <c r="C172" i="3" s="1"/>
  <c r="F171" i="3"/>
  <c r="E171" i="3"/>
  <c r="D171" i="3"/>
  <c r="A171" i="3"/>
  <c r="C171" i="3" s="1"/>
  <c r="F170" i="3"/>
  <c r="E170" i="3"/>
  <c r="D170" i="3"/>
  <c r="A170" i="3"/>
  <c r="C170" i="3" s="1"/>
  <c r="F169" i="3"/>
  <c r="E169" i="3"/>
  <c r="D169" i="3"/>
  <c r="A169" i="3"/>
  <c r="B169" i="3" s="1"/>
  <c r="F168" i="3"/>
  <c r="E168" i="3"/>
  <c r="D168" i="3"/>
  <c r="A168" i="3"/>
  <c r="B168" i="3" s="1"/>
  <c r="F167" i="3"/>
  <c r="E167" i="3"/>
  <c r="D167" i="3"/>
  <c r="A167" i="3"/>
  <c r="B167" i="3" s="1"/>
  <c r="F166" i="3"/>
  <c r="E166" i="3"/>
  <c r="D166" i="3"/>
  <c r="A166" i="3"/>
  <c r="B166" i="3" s="1"/>
  <c r="F165" i="3"/>
  <c r="E165" i="3"/>
  <c r="D165" i="3"/>
  <c r="A165" i="3"/>
  <c r="B165" i="3" s="1"/>
  <c r="F164" i="3"/>
  <c r="E164" i="3"/>
  <c r="D164" i="3"/>
  <c r="A164" i="3"/>
  <c r="B164" i="3" s="1"/>
  <c r="F163" i="3"/>
  <c r="E163" i="3"/>
  <c r="D163" i="3"/>
  <c r="A163" i="3"/>
  <c r="C163" i="3" s="1"/>
  <c r="F162" i="3"/>
  <c r="E162" i="3"/>
  <c r="D162" i="3"/>
  <c r="A162" i="3"/>
  <c r="C162" i="3" s="1"/>
  <c r="F161" i="3"/>
  <c r="E161" i="3"/>
  <c r="D161" i="3"/>
  <c r="A161" i="3"/>
  <c r="C161" i="3" s="1"/>
  <c r="F160" i="3"/>
  <c r="E160" i="3"/>
  <c r="D160" i="3"/>
  <c r="A160" i="3"/>
  <c r="B160" i="3" s="1"/>
  <c r="F159" i="3"/>
  <c r="E159" i="3"/>
  <c r="D159" i="3"/>
  <c r="A159" i="3"/>
  <c r="C159" i="3" s="1"/>
  <c r="F158" i="3"/>
  <c r="E158" i="3"/>
  <c r="D158" i="3"/>
  <c r="A158" i="3"/>
  <c r="B158" i="3" s="1"/>
  <c r="F157" i="3"/>
  <c r="E157" i="3"/>
  <c r="D157" i="3"/>
  <c r="A157" i="3"/>
  <c r="C157" i="3" s="1"/>
  <c r="F156" i="3"/>
  <c r="E156" i="3"/>
  <c r="D156" i="3"/>
  <c r="A156" i="3"/>
  <c r="C156" i="3" s="1"/>
  <c r="F155" i="3"/>
  <c r="E155" i="3"/>
  <c r="D155" i="3"/>
  <c r="A155" i="3"/>
  <c r="C155" i="3" s="1"/>
  <c r="F154" i="3"/>
  <c r="E154" i="3"/>
  <c r="D154" i="3"/>
  <c r="A154" i="3"/>
  <c r="B154" i="3" s="1"/>
  <c r="F153" i="3"/>
  <c r="E153" i="3"/>
  <c r="D153" i="3"/>
  <c r="A153" i="3"/>
  <c r="B153" i="3" s="1"/>
  <c r="F152" i="3"/>
  <c r="E152" i="3"/>
  <c r="D152" i="3"/>
  <c r="A152" i="3"/>
  <c r="C152" i="3" s="1"/>
  <c r="F151" i="3"/>
  <c r="E151" i="3"/>
  <c r="D151" i="3"/>
  <c r="A151" i="3"/>
  <c r="C151" i="3" s="1"/>
  <c r="F150" i="3"/>
  <c r="E150" i="3"/>
  <c r="D150" i="3"/>
  <c r="A150" i="3"/>
  <c r="C150" i="3" s="1"/>
  <c r="F149" i="3"/>
  <c r="E149" i="3"/>
  <c r="D149" i="3"/>
  <c r="A149" i="3"/>
  <c r="C149" i="3" s="1"/>
  <c r="F148" i="3"/>
  <c r="E148" i="3"/>
  <c r="D148" i="3"/>
  <c r="A148" i="3"/>
  <c r="B148" i="3" s="1"/>
  <c r="F147" i="3"/>
  <c r="E147" i="3"/>
  <c r="D147" i="3"/>
  <c r="A147" i="3"/>
  <c r="C147" i="3" s="1"/>
  <c r="F146" i="3"/>
  <c r="E146" i="3"/>
  <c r="D146" i="3"/>
  <c r="A146" i="3"/>
  <c r="C146" i="3" s="1"/>
  <c r="F145" i="3"/>
  <c r="E145" i="3"/>
  <c r="D145" i="3"/>
  <c r="A145" i="3"/>
  <c r="B145" i="3" s="1"/>
  <c r="F144" i="3"/>
  <c r="E144" i="3"/>
  <c r="D144" i="3"/>
  <c r="A144" i="3"/>
  <c r="B144" i="3" s="1"/>
  <c r="F143" i="3"/>
  <c r="E143" i="3"/>
  <c r="D143" i="3"/>
  <c r="A143" i="3"/>
  <c r="C143" i="3" s="1"/>
  <c r="F142" i="3"/>
  <c r="E142" i="3"/>
  <c r="D142" i="3"/>
  <c r="A142" i="3"/>
  <c r="B142" i="3" s="1"/>
  <c r="F141" i="3"/>
  <c r="E141" i="3"/>
  <c r="D141" i="3"/>
  <c r="A141" i="3"/>
  <c r="C141" i="3" s="1"/>
  <c r="F140" i="3"/>
  <c r="E140" i="3"/>
  <c r="D140" i="3"/>
  <c r="A140" i="3"/>
  <c r="C140" i="3" s="1"/>
  <c r="F139" i="3"/>
  <c r="E139" i="3"/>
  <c r="D139" i="3"/>
  <c r="A139" i="3"/>
  <c r="C139" i="3" s="1"/>
  <c r="F138" i="3"/>
  <c r="E138" i="3"/>
  <c r="D138" i="3"/>
  <c r="A138" i="3"/>
  <c r="B138" i="3" s="1"/>
  <c r="F137" i="3"/>
  <c r="E137" i="3"/>
  <c r="D137" i="3"/>
  <c r="A137" i="3"/>
  <c r="B137" i="3" s="1"/>
  <c r="F136" i="3"/>
  <c r="E136" i="3"/>
  <c r="D136" i="3"/>
  <c r="A136" i="3"/>
  <c r="B136" i="3" s="1"/>
  <c r="F135" i="3"/>
  <c r="E135" i="3"/>
  <c r="D135" i="3"/>
  <c r="A135" i="3"/>
  <c r="B135" i="3" s="1"/>
  <c r="F134" i="3"/>
  <c r="E134" i="3"/>
  <c r="D134" i="3"/>
  <c r="A134" i="3"/>
  <c r="B134" i="3" s="1"/>
  <c r="F133" i="3"/>
  <c r="E133" i="3"/>
  <c r="D133" i="3"/>
  <c r="A133" i="3"/>
  <c r="B133" i="3" s="1"/>
  <c r="F132" i="3"/>
  <c r="E132" i="3"/>
  <c r="D132" i="3"/>
  <c r="A132" i="3"/>
  <c r="B132" i="3" s="1"/>
  <c r="F131" i="3"/>
  <c r="E131" i="3"/>
  <c r="D131" i="3"/>
  <c r="A131" i="3"/>
  <c r="C131" i="3" s="1"/>
  <c r="F130" i="3"/>
  <c r="E130" i="3"/>
  <c r="D130" i="3"/>
  <c r="A130" i="3"/>
  <c r="C130" i="3" s="1"/>
  <c r="F129" i="3"/>
  <c r="E129" i="3"/>
  <c r="D129" i="3"/>
  <c r="A129" i="3"/>
  <c r="C129" i="3" s="1"/>
  <c r="F128" i="3"/>
  <c r="E128" i="3"/>
  <c r="D128" i="3"/>
  <c r="A128" i="3"/>
  <c r="C128" i="3" s="1"/>
  <c r="F127" i="3"/>
  <c r="E127" i="3"/>
  <c r="D127" i="3"/>
  <c r="A127" i="3"/>
  <c r="B127" i="3" s="1"/>
  <c r="F126" i="3"/>
  <c r="E126" i="3"/>
  <c r="D126" i="3"/>
  <c r="A126" i="3"/>
  <c r="B126" i="3" s="1"/>
  <c r="F125" i="3"/>
  <c r="E125" i="3"/>
  <c r="D125" i="3"/>
  <c r="A125" i="3"/>
  <c r="C125" i="3" s="1"/>
  <c r="F124" i="3"/>
  <c r="E124" i="3"/>
  <c r="D124" i="3"/>
  <c r="A124" i="3"/>
  <c r="B124" i="3" s="1"/>
  <c r="F123" i="3"/>
  <c r="E123" i="3"/>
  <c r="D123" i="3"/>
  <c r="A123" i="3"/>
  <c r="B123" i="3" s="1"/>
  <c r="F122" i="3"/>
  <c r="E122" i="3"/>
  <c r="D122" i="3"/>
  <c r="A122" i="3"/>
  <c r="C122" i="3" s="1"/>
  <c r="F121" i="3"/>
  <c r="E121" i="3"/>
  <c r="D121" i="3"/>
  <c r="A121" i="3"/>
  <c r="C121" i="3" s="1"/>
  <c r="F120" i="3"/>
  <c r="E120" i="3"/>
  <c r="D120" i="3"/>
  <c r="A120" i="3"/>
  <c r="C120" i="3" s="1"/>
  <c r="F119" i="3"/>
  <c r="E119" i="3"/>
  <c r="D119" i="3"/>
  <c r="A119" i="3"/>
  <c r="B119" i="3" s="1"/>
  <c r="F118" i="3"/>
  <c r="E118" i="3"/>
  <c r="D118" i="3"/>
  <c r="A118" i="3"/>
  <c r="C118" i="3" s="1"/>
  <c r="F117" i="3"/>
  <c r="E117" i="3"/>
  <c r="D117" i="3"/>
  <c r="A117" i="3"/>
  <c r="B117" i="3" s="1"/>
  <c r="F116" i="3"/>
  <c r="E116" i="3"/>
  <c r="D116" i="3"/>
  <c r="A116" i="3"/>
  <c r="C116" i="3" s="1"/>
  <c r="F115" i="3"/>
  <c r="E115" i="3"/>
  <c r="D115" i="3"/>
  <c r="A115" i="3"/>
  <c r="B115" i="3" s="1"/>
  <c r="F114" i="3"/>
  <c r="E114" i="3"/>
  <c r="D114" i="3"/>
  <c r="A114" i="3"/>
  <c r="B114" i="3" s="1"/>
  <c r="F113" i="3"/>
  <c r="E113" i="3"/>
  <c r="D113" i="3"/>
  <c r="A113" i="3"/>
  <c r="C113" i="3" s="1"/>
  <c r="F112" i="3"/>
  <c r="E112" i="3"/>
  <c r="D112" i="3"/>
  <c r="A112" i="3"/>
  <c r="B112" i="3" s="1"/>
  <c r="F111" i="3"/>
  <c r="E111" i="3"/>
  <c r="D111" i="3"/>
  <c r="A111" i="3"/>
  <c r="C111" i="3" s="1"/>
  <c r="F110" i="3"/>
  <c r="E110" i="3"/>
  <c r="D110" i="3"/>
  <c r="A110" i="3"/>
  <c r="B110" i="3" s="1"/>
  <c r="F109" i="3"/>
  <c r="E109" i="3"/>
  <c r="D109" i="3"/>
  <c r="A109" i="3"/>
  <c r="B109" i="3" s="1"/>
  <c r="F108" i="3"/>
  <c r="E108" i="3"/>
  <c r="D108" i="3"/>
  <c r="A108" i="3"/>
  <c r="B108" i="3" s="1"/>
  <c r="F107" i="3"/>
  <c r="E107" i="3"/>
  <c r="D107" i="3"/>
  <c r="A107" i="3"/>
  <c r="B107" i="3" s="1"/>
  <c r="F106" i="3"/>
  <c r="E106" i="3"/>
  <c r="D106" i="3"/>
  <c r="A106" i="3"/>
  <c r="B106" i="3" s="1"/>
  <c r="F105" i="3"/>
  <c r="E105" i="3"/>
  <c r="D105" i="3"/>
  <c r="A105" i="3"/>
  <c r="C105" i="3" s="1"/>
  <c r="F104" i="3"/>
  <c r="E104" i="3"/>
  <c r="D104" i="3"/>
  <c r="A104" i="3"/>
  <c r="B104" i="3" s="1"/>
  <c r="F103" i="3"/>
  <c r="E103" i="3"/>
  <c r="D103" i="3"/>
  <c r="A103" i="3"/>
  <c r="B103" i="3" s="1"/>
  <c r="F102" i="3"/>
  <c r="E102" i="3"/>
  <c r="D102" i="3"/>
  <c r="A102" i="3"/>
  <c r="C102" i="3" s="1"/>
  <c r="F101" i="3"/>
  <c r="E101" i="3"/>
  <c r="D101" i="3"/>
  <c r="A101" i="3"/>
  <c r="C101" i="3" s="1"/>
  <c r="F100" i="3"/>
  <c r="E100" i="3"/>
  <c r="D100" i="3"/>
  <c r="A100" i="3"/>
  <c r="B100" i="3" s="1"/>
  <c r="F99" i="3"/>
  <c r="E99" i="3"/>
  <c r="D99" i="3"/>
  <c r="A99" i="3"/>
  <c r="B99" i="3" s="1"/>
  <c r="F98" i="3"/>
  <c r="E98" i="3"/>
  <c r="D98" i="3"/>
  <c r="A98" i="3"/>
  <c r="B98" i="3" s="1"/>
  <c r="F97" i="3"/>
  <c r="E97" i="3"/>
  <c r="D97" i="3"/>
  <c r="A97" i="3"/>
  <c r="B97" i="3" s="1"/>
  <c r="F96" i="3"/>
  <c r="E96" i="3"/>
  <c r="D96" i="3"/>
  <c r="A96" i="3"/>
  <c r="C96" i="3" s="1"/>
  <c r="F95" i="3"/>
  <c r="E95" i="3"/>
  <c r="D95" i="3"/>
  <c r="A95" i="3"/>
  <c r="B95" i="3" s="1"/>
  <c r="F94" i="3"/>
  <c r="E94" i="3"/>
  <c r="D94" i="3"/>
  <c r="A94" i="3"/>
  <c r="B94" i="3" s="1"/>
  <c r="F93" i="3"/>
  <c r="E93" i="3"/>
  <c r="D93" i="3"/>
  <c r="A93" i="3"/>
  <c r="C93" i="3" s="1"/>
  <c r="F92" i="3"/>
  <c r="E92" i="3"/>
  <c r="D92" i="3"/>
  <c r="A92" i="3"/>
  <c r="C92" i="3" s="1"/>
  <c r="F91" i="3"/>
  <c r="E91" i="3"/>
  <c r="D91" i="3"/>
  <c r="A91" i="3"/>
  <c r="B91" i="3" s="1"/>
  <c r="F90" i="3"/>
  <c r="E90" i="3"/>
  <c r="D90" i="3"/>
  <c r="A90" i="3"/>
  <c r="B90" i="3" s="1"/>
  <c r="F89" i="3"/>
  <c r="E89" i="3"/>
  <c r="D89" i="3"/>
  <c r="A89" i="3"/>
  <c r="C89" i="3" s="1"/>
  <c r="F88" i="3"/>
  <c r="E88" i="3"/>
  <c r="D88" i="3"/>
  <c r="A88" i="3"/>
  <c r="C88" i="3" s="1"/>
  <c r="F87" i="3"/>
  <c r="E87" i="3"/>
  <c r="D87" i="3"/>
  <c r="A87" i="3"/>
  <c r="C87" i="3" s="1"/>
  <c r="F86" i="3"/>
  <c r="E86" i="3"/>
  <c r="D86" i="3"/>
  <c r="A86" i="3"/>
  <c r="C86" i="3" s="1"/>
  <c r="F85" i="3"/>
  <c r="E85" i="3"/>
  <c r="D85" i="3"/>
  <c r="A85" i="3"/>
  <c r="B85" i="3" s="1"/>
  <c r="F84" i="3"/>
  <c r="E84" i="3"/>
  <c r="D84" i="3"/>
  <c r="A84" i="3"/>
  <c r="C84" i="3" s="1"/>
  <c r="F83" i="3"/>
  <c r="E83" i="3"/>
  <c r="D83" i="3"/>
  <c r="A83" i="3"/>
  <c r="C83" i="3" s="1"/>
  <c r="F82" i="3"/>
  <c r="E82" i="3"/>
  <c r="D82" i="3"/>
  <c r="A82" i="3"/>
  <c r="B82" i="3" s="1"/>
  <c r="F81" i="3"/>
  <c r="E81" i="3"/>
  <c r="D81" i="3"/>
  <c r="A81" i="3"/>
  <c r="C81" i="3" s="1"/>
  <c r="F80" i="3"/>
  <c r="E80" i="3"/>
  <c r="D80" i="3"/>
  <c r="A80" i="3"/>
  <c r="B80" i="3" s="1"/>
  <c r="C80" i="3"/>
  <c r="F79" i="3"/>
  <c r="E79" i="3"/>
  <c r="D79" i="3"/>
  <c r="A79" i="3"/>
  <c r="C79" i="3" s="1"/>
  <c r="F78" i="3"/>
  <c r="E78" i="3"/>
  <c r="D78" i="3"/>
  <c r="A78" i="3"/>
  <c r="B78" i="3" s="1"/>
  <c r="F77" i="3"/>
  <c r="E77" i="3"/>
  <c r="D77" i="3"/>
  <c r="A77" i="3"/>
  <c r="B77" i="3" s="1"/>
  <c r="F76" i="3"/>
  <c r="E76" i="3"/>
  <c r="D76" i="3"/>
  <c r="A76" i="3"/>
  <c r="C76" i="3" s="1"/>
  <c r="F75" i="3"/>
  <c r="E75" i="3"/>
  <c r="D75" i="3"/>
  <c r="A75" i="3"/>
  <c r="C75" i="3" s="1"/>
  <c r="F74" i="3"/>
  <c r="E74" i="3"/>
  <c r="D74" i="3"/>
  <c r="A74" i="3"/>
  <c r="B74" i="3" s="1"/>
  <c r="F73" i="3"/>
  <c r="E73" i="3"/>
  <c r="D73" i="3"/>
  <c r="A73" i="3"/>
  <c r="B73" i="3" s="1"/>
  <c r="F72" i="3"/>
  <c r="E72" i="3"/>
  <c r="D72" i="3"/>
  <c r="A72" i="3"/>
  <c r="B72" i="3" s="1"/>
  <c r="F71" i="3"/>
  <c r="E71" i="3"/>
  <c r="D71" i="3"/>
  <c r="A71" i="3"/>
  <c r="C71" i="3" s="1"/>
  <c r="F70" i="3"/>
  <c r="E70" i="3"/>
  <c r="D70" i="3"/>
  <c r="A70" i="3"/>
  <c r="B70" i="3" s="1"/>
  <c r="F69" i="3"/>
  <c r="E69" i="3"/>
  <c r="D69" i="3"/>
  <c r="A69" i="3"/>
  <c r="C69" i="3" s="1"/>
  <c r="F68" i="3"/>
  <c r="E68" i="3"/>
  <c r="D68" i="3"/>
  <c r="A68" i="3"/>
  <c r="B68" i="3" s="1"/>
  <c r="F67" i="3"/>
  <c r="E67" i="3"/>
  <c r="D67" i="3"/>
  <c r="A67" i="3"/>
  <c r="C67" i="3" s="1"/>
  <c r="F66" i="3"/>
  <c r="E66" i="3"/>
  <c r="D66" i="3"/>
  <c r="A66" i="3"/>
  <c r="C66" i="3" s="1"/>
  <c r="F65" i="3"/>
  <c r="E65" i="3"/>
  <c r="D65" i="3"/>
  <c r="A65" i="3"/>
  <c r="B65" i="3" s="1"/>
  <c r="F64" i="3"/>
  <c r="E64" i="3"/>
  <c r="D64" i="3"/>
  <c r="A64" i="3"/>
  <c r="B64" i="3" s="1"/>
  <c r="F63" i="3"/>
  <c r="E63" i="3"/>
  <c r="D63" i="3"/>
  <c r="A63" i="3"/>
  <c r="B63" i="3" s="1"/>
  <c r="F62" i="3"/>
  <c r="E62" i="3"/>
  <c r="D62" i="3"/>
  <c r="A62" i="3"/>
  <c r="C62" i="3" s="1"/>
  <c r="F61" i="3"/>
  <c r="E61" i="3"/>
  <c r="D61" i="3"/>
  <c r="A61" i="3"/>
  <c r="C61" i="3" s="1"/>
  <c r="F60" i="3"/>
  <c r="E60" i="3"/>
  <c r="D60" i="3"/>
  <c r="A60" i="3"/>
  <c r="C60" i="3" s="1"/>
  <c r="F59" i="3"/>
  <c r="E59" i="3"/>
  <c r="D59" i="3"/>
  <c r="A59" i="3"/>
  <c r="C59" i="3" s="1"/>
  <c r="F58" i="3"/>
  <c r="E58" i="3"/>
  <c r="D58" i="3"/>
  <c r="A58" i="3"/>
  <c r="B58" i="3" s="1"/>
  <c r="F57" i="3"/>
  <c r="E57" i="3"/>
  <c r="D57" i="3"/>
  <c r="A57" i="3"/>
  <c r="B57" i="3" s="1"/>
  <c r="F56" i="3"/>
  <c r="E56" i="3"/>
  <c r="D56" i="3"/>
  <c r="A56" i="3"/>
  <c r="C56" i="3" s="1"/>
  <c r="F55" i="3"/>
  <c r="E55" i="3"/>
  <c r="D55" i="3"/>
  <c r="A55" i="3"/>
  <c r="C55" i="3" s="1"/>
  <c r="F54" i="3"/>
  <c r="E54" i="3"/>
  <c r="D54" i="3"/>
  <c r="A54" i="3"/>
  <c r="C54" i="3" s="1"/>
  <c r="F53" i="3"/>
  <c r="E53" i="3"/>
  <c r="D53" i="3"/>
  <c r="A53" i="3"/>
  <c r="B53" i="3" s="1"/>
  <c r="F52" i="3"/>
  <c r="E52" i="3"/>
  <c r="D52" i="3"/>
  <c r="A52" i="3"/>
  <c r="C52" i="3" s="1"/>
  <c r="F51" i="3"/>
  <c r="E51" i="3"/>
  <c r="D51" i="3"/>
  <c r="A51" i="3"/>
  <c r="C51" i="3" s="1"/>
  <c r="F50" i="3"/>
  <c r="E50" i="3"/>
  <c r="D50" i="3"/>
  <c r="A50" i="3"/>
  <c r="B50" i="3" s="1"/>
  <c r="F49" i="3"/>
  <c r="E49" i="3"/>
  <c r="D49" i="3"/>
  <c r="A49" i="3"/>
  <c r="C49" i="3" s="1"/>
  <c r="F48" i="3"/>
  <c r="E48" i="3"/>
  <c r="D48" i="3"/>
  <c r="A48" i="3"/>
  <c r="C48" i="3" s="1"/>
  <c r="F47" i="3"/>
  <c r="E47" i="3"/>
  <c r="D47" i="3"/>
  <c r="A47" i="3"/>
  <c r="B47" i="3" s="1"/>
  <c r="F46" i="3"/>
  <c r="E46" i="3"/>
  <c r="D46" i="3"/>
  <c r="A46" i="3"/>
  <c r="B46" i="3" s="1"/>
  <c r="F45" i="3"/>
  <c r="E45" i="3"/>
  <c r="D45" i="3"/>
  <c r="A45" i="3"/>
  <c r="B45" i="3" s="1"/>
  <c r="F44" i="3"/>
  <c r="E44" i="3"/>
  <c r="D44" i="3"/>
  <c r="A44" i="3"/>
  <c r="B44" i="3" s="1"/>
  <c r="F43" i="3"/>
  <c r="E43" i="3"/>
  <c r="D43" i="3"/>
  <c r="A43" i="3"/>
  <c r="B43" i="3" s="1"/>
  <c r="F42" i="3"/>
  <c r="E42" i="3"/>
  <c r="D42" i="3"/>
  <c r="A42" i="3"/>
  <c r="C42" i="3" s="1"/>
  <c r="F41" i="3"/>
  <c r="E41" i="3"/>
  <c r="D41" i="3"/>
  <c r="A41" i="3"/>
  <c r="C41" i="3" s="1"/>
  <c r="F40" i="3"/>
  <c r="E40" i="3"/>
  <c r="D40" i="3"/>
  <c r="A40" i="3"/>
  <c r="C40" i="3" s="1"/>
  <c r="F39" i="3"/>
  <c r="E39" i="3"/>
  <c r="D39" i="3"/>
  <c r="A39" i="3"/>
  <c r="C39" i="3" s="1"/>
  <c r="F38" i="3"/>
  <c r="E38" i="3"/>
  <c r="D38" i="3"/>
  <c r="A38" i="3"/>
  <c r="C38" i="3" s="1"/>
  <c r="F37" i="3"/>
  <c r="E37" i="3"/>
  <c r="D37" i="3"/>
  <c r="A37" i="3"/>
  <c r="B37" i="3" s="1"/>
  <c r="F36" i="3"/>
  <c r="E36" i="3"/>
  <c r="D36" i="3"/>
  <c r="A36" i="3"/>
  <c r="C36" i="3" s="1"/>
  <c r="F35" i="3"/>
  <c r="E35" i="3"/>
  <c r="D35" i="3"/>
  <c r="A35" i="3"/>
  <c r="B35" i="3" s="1"/>
  <c r="F34" i="3"/>
  <c r="E34" i="3"/>
  <c r="D34" i="3"/>
  <c r="A34" i="3"/>
  <c r="C34" i="3" s="1"/>
  <c r="F33" i="3"/>
  <c r="E33" i="3"/>
  <c r="D33" i="3"/>
  <c r="A33" i="3"/>
  <c r="C33" i="3" s="1"/>
  <c r="F32" i="3"/>
  <c r="E32" i="3"/>
  <c r="D32" i="3"/>
  <c r="A32" i="3"/>
  <c r="B32" i="3" s="1"/>
  <c r="F31" i="3"/>
  <c r="E31" i="3"/>
  <c r="D31" i="3"/>
  <c r="A31" i="3"/>
  <c r="C31" i="3" s="1"/>
  <c r="F30" i="3"/>
  <c r="E30" i="3"/>
  <c r="D30" i="3"/>
  <c r="A30" i="3"/>
  <c r="C30" i="3" s="1"/>
  <c r="F29" i="3"/>
  <c r="E29" i="3"/>
  <c r="D29" i="3"/>
  <c r="A29" i="3"/>
  <c r="C29" i="3" s="1"/>
  <c r="F28" i="3"/>
  <c r="E28" i="3"/>
  <c r="D28" i="3"/>
  <c r="A28" i="3"/>
  <c r="B28" i="3" s="1"/>
  <c r="F27" i="3"/>
  <c r="E27" i="3"/>
  <c r="D27" i="3"/>
  <c r="A27" i="3"/>
  <c r="B27" i="3" s="1"/>
  <c r="F26" i="3"/>
  <c r="E26" i="3"/>
  <c r="D26" i="3"/>
  <c r="A26" i="3"/>
  <c r="C26" i="3" s="1"/>
  <c r="F25" i="3"/>
  <c r="E25" i="3"/>
  <c r="D25" i="3"/>
  <c r="A25" i="3"/>
  <c r="B25" i="3" s="1"/>
  <c r="F24" i="3"/>
  <c r="E24" i="3"/>
  <c r="D24" i="3"/>
  <c r="A24" i="3"/>
  <c r="B24" i="3" s="1"/>
  <c r="F23" i="3"/>
  <c r="E23" i="3"/>
  <c r="D23" i="3"/>
  <c r="A23" i="3"/>
  <c r="B23" i="3" s="1"/>
  <c r="F22" i="3"/>
  <c r="E22" i="3"/>
  <c r="D22" i="3"/>
  <c r="A22" i="3"/>
  <c r="C22" i="3" s="1"/>
  <c r="F21" i="3"/>
  <c r="E21" i="3"/>
  <c r="D21" i="3"/>
  <c r="A21" i="3"/>
  <c r="C21" i="3" s="1"/>
  <c r="F16" i="3"/>
  <c r="F15" i="3"/>
  <c r="F14" i="3"/>
  <c r="F13" i="3"/>
  <c r="F12" i="3"/>
  <c r="F11" i="3"/>
  <c r="F10" i="3"/>
  <c r="F9" i="3"/>
  <c r="F8" i="3"/>
  <c r="F7" i="3"/>
  <c r="C30" i="19" l="1"/>
  <c r="C52" i="19"/>
  <c r="C56" i="19"/>
  <c r="C17" i="19"/>
  <c r="C66" i="19"/>
  <c r="C11" i="19"/>
  <c r="C75" i="19"/>
  <c r="C31" i="19"/>
  <c r="C21" i="19"/>
  <c r="C85" i="19"/>
  <c r="C86" i="19"/>
  <c r="C46" i="19"/>
  <c r="C63" i="19"/>
  <c r="C41" i="19"/>
  <c r="C74" i="19"/>
  <c r="C61" i="19"/>
  <c r="C76" i="19"/>
  <c r="C29" i="19"/>
  <c r="C71" i="19"/>
  <c r="C25" i="19"/>
  <c r="C8" i="19"/>
  <c r="C72" i="19"/>
  <c r="C82" i="19"/>
  <c r="C91" i="19"/>
  <c r="C67" i="19"/>
  <c r="C79" i="19"/>
  <c r="C33" i="19"/>
  <c r="C42" i="19"/>
  <c r="C40" i="19"/>
  <c r="C36" i="19"/>
  <c r="C89" i="19"/>
  <c r="C87" i="19"/>
  <c r="C49" i="19"/>
  <c r="C88" i="19"/>
  <c r="C43" i="19"/>
  <c r="C6" i="19"/>
  <c r="C39" i="19"/>
  <c r="C28" i="19"/>
  <c r="C58" i="19"/>
  <c r="C64" i="3"/>
  <c r="C72" i="3"/>
  <c r="C136" i="3"/>
  <c r="C189" i="3"/>
  <c r="B84" i="3"/>
  <c r="C167" i="3"/>
  <c r="B111" i="3"/>
  <c r="C53" i="3"/>
  <c r="C145" i="3"/>
  <c r="B171" i="3"/>
  <c r="B51" i="3"/>
  <c r="B87" i="3"/>
  <c r="B177" i="3"/>
  <c r="C43" i="3"/>
  <c r="C78" i="3"/>
  <c r="B156" i="3"/>
  <c r="B130" i="3"/>
  <c r="B191" i="3"/>
  <c r="C165" i="3"/>
  <c r="C98" i="3"/>
  <c r="B118" i="3"/>
  <c r="B185" i="3"/>
  <c r="C187" i="3"/>
  <c r="C91" i="3"/>
  <c r="B56" i="3"/>
  <c r="B172" i="3"/>
  <c r="C169" i="3"/>
  <c r="B129" i="3"/>
  <c r="C65" i="3"/>
  <c r="C114" i="3"/>
  <c r="C196" i="3"/>
  <c r="C126" i="3"/>
  <c r="C124" i="3"/>
  <c r="B147" i="3"/>
  <c r="C58" i="3"/>
  <c r="B188" i="3"/>
  <c r="B190" i="3"/>
  <c r="C28" i="3"/>
  <c r="B125" i="3"/>
  <c r="C148" i="3"/>
  <c r="B207" i="3"/>
  <c r="E79" i="19"/>
  <c r="F48" i="19"/>
  <c r="G107" i="19"/>
  <c r="D107" i="19" s="1"/>
  <c r="F102" i="19"/>
  <c r="F115" i="19"/>
  <c r="F104" i="19"/>
  <c r="G98" i="19"/>
  <c r="D98" i="19" s="1"/>
  <c r="F95" i="19"/>
  <c r="G114" i="19"/>
  <c r="D114" i="19" s="1"/>
  <c r="G99" i="19"/>
  <c r="D99" i="19" s="1"/>
  <c r="F110" i="19"/>
  <c r="F103" i="19"/>
  <c r="G105" i="19"/>
  <c r="D105" i="19" s="1"/>
  <c r="F116" i="19"/>
  <c r="G113" i="19"/>
  <c r="D113" i="19" s="1"/>
  <c r="F96" i="19"/>
  <c r="G106" i="19"/>
  <c r="D106" i="19" s="1"/>
  <c r="F117" i="19"/>
  <c r="F105" i="19"/>
  <c r="F98" i="19"/>
  <c r="G108" i="19"/>
  <c r="D108" i="19" s="1"/>
  <c r="F119" i="19"/>
  <c r="F97" i="19"/>
  <c r="F118" i="19"/>
  <c r="F106" i="19"/>
  <c r="F111" i="19"/>
  <c r="F99" i="19"/>
  <c r="F107" i="19"/>
  <c r="G109" i="19"/>
  <c r="D109" i="19" s="1"/>
  <c r="F112" i="19"/>
  <c r="G117" i="19"/>
  <c r="D117" i="19" s="1"/>
  <c r="F101" i="19"/>
  <c r="F109" i="19"/>
  <c r="F114" i="19"/>
  <c r="G111" i="19"/>
  <c r="D111" i="19" s="1"/>
  <c r="G119" i="19"/>
  <c r="D119" i="19" s="1"/>
  <c r="F100" i="19"/>
  <c r="F108" i="19"/>
  <c r="G102" i="19"/>
  <c r="D102" i="19" s="1"/>
  <c r="F113" i="19"/>
  <c r="G118" i="19"/>
  <c r="D118" i="19" s="1"/>
  <c r="B209" i="3"/>
  <c r="B101" i="3"/>
  <c r="B131" i="3"/>
  <c r="C127" i="3"/>
  <c r="B181" i="3"/>
  <c r="C160" i="3"/>
  <c r="B21" i="3"/>
  <c r="B60" i="3"/>
  <c r="C108" i="3"/>
  <c r="C154" i="3"/>
  <c r="F26" i="19"/>
  <c r="B151" i="3"/>
  <c r="B26" i="3"/>
  <c r="B184" i="3"/>
  <c r="C119" i="3"/>
  <c r="B29" i="3"/>
  <c r="C77" i="3"/>
  <c r="B71" i="3"/>
  <c r="B69" i="3"/>
  <c r="B86" i="3"/>
  <c r="C99" i="3"/>
  <c r="C194" i="3"/>
  <c r="B121" i="3"/>
  <c r="C144" i="3"/>
  <c r="B36" i="3"/>
  <c r="C74" i="3"/>
  <c r="C109" i="3"/>
  <c r="C73" i="3"/>
  <c r="B120" i="3"/>
  <c r="B198" i="3"/>
  <c r="C32" i="3"/>
  <c r="B59" i="3"/>
  <c r="C134" i="3"/>
  <c r="B149" i="3"/>
  <c r="C180" i="3"/>
  <c r="C166" i="3"/>
  <c r="B202" i="3"/>
  <c r="C106" i="3"/>
  <c r="B76" i="3"/>
  <c r="C135" i="3"/>
  <c r="B152" i="3"/>
  <c r="B205" i="3"/>
  <c r="B41" i="3"/>
  <c r="C50" i="3"/>
  <c r="C164" i="3"/>
  <c r="B175" i="3"/>
  <c r="B155" i="3"/>
  <c r="B195" i="3"/>
  <c r="B150" i="3"/>
  <c r="B49" i="3"/>
  <c r="B67" i="3"/>
  <c r="C94" i="3"/>
  <c r="B141" i="3"/>
  <c r="B183" i="3"/>
  <c r="B201" i="3"/>
  <c r="B38" i="3"/>
  <c r="C117" i="3"/>
  <c r="B42" i="3"/>
  <c r="B174" i="3"/>
  <c r="B79" i="3"/>
  <c r="C24" i="3"/>
  <c r="B33" i="3"/>
  <c r="C46" i="3"/>
  <c r="C82" i="3"/>
  <c r="B93" i="3"/>
  <c r="C100" i="3"/>
  <c r="B140" i="3"/>
  <c r="C158" i="3"/>
  <c r="B105" i="3"/>
  <c r="B92" i="3"/>
  <c r="C104" i="3"/>
  <c r="B113" i="3"/>
  <c r="C133" i="3"/>
  <c r="C193" i="3"/>
  <c r="C45" i="3"/>
  <c r="B66" i="3"/>
  <c r="C47" i="3"/>
  <c r="C27" i="3"/>
  <c r="C95" i="3"/>
  <c r="B162" i="3"/>
  <c r="B31" i="3"/>
  <c r="B61" i="3"/>
  <c r="C68" i="3"/>
  <c r="B75" i="3"/>
  <c r="C103" i="3"/>
  <c r="C110" i="3"/>
  <c r="C115" i="3"/>
  <c r="C138" i="3"/>
  <c r="B159" i="3"/>
  <c r="C168" i="3"/>
  <c r="B178" i="3"/>
  <c r="C90" i="3"/>
  <c r="B146" i="3"/>
  <c r="C37" i="3"/>
  <c r="B48" i="3"/>
  <c r="B192" i="3"/>
  <c r="C153" i="3"/>
  <c r="B139" i="3"/>
  <c r="C197" i="3"/>
  <c r="B176" i="3"/>
  <c r="C23" i="3"/>
  <c r="B62" i="3"/>
  <c r="C97" i="3"/>
  <c r="C63" i="3"/>
  <c r="B170" i="3"/>
  <c r="C208" i="3"/>
  <c r="C35" i="3"/>
  <c r="B55" i="3"/>
  <c r="B81" i="3"/>
  <c r="C123" i="3"/>
  <c r="C206" i="3"/>
  <c r="C2" i="20"/>
  <c r="C8" i="20"/>
  <c r="C3" i="20"/>
  <c r="C4" i="20"/>
  <c r="C70" i="3"/>
  <c r="B143" i="3"/>
  <c r="C25" i="3"/>
  <c r="B22" i="3"/>
  <c r="B128" i="3"/>
  <c r="C57" i="3"/>
  <c r="B30" i="3"/>
  <c r="B52" i="3"/>
  <c r="B163" i="3"/>
  <c r="C182" i="3"/>
  <c r="C203" i="3"/>
  <c r="B200" i="3"/>
  <c r="B40" i="3"/>
  <c r="C107" i="3"/>
  <c r="B102" i="3"/>
  <c r="C112" i="3"/>
  <c r="B122" i="3"/>
  <c r="C132" i="3"/>
  <c r="C137" i="3"/>
  <c r="C142" i="3"/>
  <c r="B157" i="3"/>
  <c r="B39" i="3"/>
  <c r="B34" i="3"/>
  <c r="B88" i="3"/>
  <c r="C186" i="3"/>
  <c r="B89" i="3"/>
  <c r="C179" i="3"/>
  <c r="B116" i="3"/>
  <c r="B96" i="3"/>
  <c r="C173" i="3"/>
  <c r="B199" i="3"/>
  <c r="C9" i="20"/>
  <c r="B54" i="3"/>
  <c r="B204" i="3"/>
  <c r="C85" i="3"/>
  <c r="B83" i="3"/>
  <c r="B161" i="3"/>
  <c r="C6" i="20"/>
  <c r="C44" i="3"/>
  <c r="F51" i="19"/>
  <c r="F83" i="19"/>
  <c r="G72" i="19"/>
  <c r="D72" i="19" s="1"/>
  <c r="C1" i="20"/>
  <c r="D5" i="20"/>
  <c r="D10" i="20"/>
  <c r="D7" i="20"/>
  <c r="C11" i="20"/>
  <c r="E46" i="19"/>
  <c r="G63" i="19"/>
  <c r="D63" i="19" s="1"/>
  <c r="F24" i="19"/>
  <c r="F15" i="19"/>
  <c r="P7" i="13"/>
  <c r="O8" i="13"/>
  <c r="P6" i="13"/>
  <c r="E6" i="19"/>
  <c r="E63" i="19"/>
  <c r="E41" i="19"/>
  <c r="E75" i="19"/>
  <c r="E85" i="19"/>
  <c r="E71" i="19"/>
  <c r="E49" i="19"/>
  <c r="E21" i="19"/>
  <c r="E86" i="19"/>
  <c r="E8" i="19"/>
  <c r="E91" i="19"/>
  <c r="E17" i="19"/>
  <c r="E36" i="19"/>
  <c r="F10" i="19"/>
  <c r="E56" i="19"/>
  <c r="E87" i="19"/>
  <c r="F90" i="19"/>
  <c r="F35" i="19"/>
  <c r="F12" i="19"/>
  <c r="F76" i="19"/>
  <c r="F45" i="19"/>
  <c r="F39" i="19"/>
  <c r="F46" i="19"/>
  <c r="F31" i="19"/>
  <c r="E30" i="19"/>
  <c r="E72" i="19"/>
  <c r="E76" i="19"/>
  <c r="F34" i="19"/>
  <c r="F23" i="19"/>
  <c r="F43" i="19"/>
  <c r="F20" i="19"/>
  <c r="F84" i="19"/>
  <c r="F53" i="19"/>
  <c r="F71" i="19"/>
  <c r="F54" i="19"/>
  <c r="F55" i="19"/>
  <c r="F64" i="19"/>
  <c r="E29" i="19"/>
  <c r="E82" i="19"/>
  <c r="F82" i="19"/>
  <c r="F59" i="19"/>
  <c r="F52" i="19"/>
  <c r="F37" i="19"/>
  <c r="F6" i="19"/>
  <c r="F86" i="19"/>
  <c r="F88" i="19"/>
  <c r="F72" i="19"/>
  <c r="F49" i="19"/>
  <c r="G85" i="19"/>
  <c r="D85" i="19" s="1"/>
  <c r="E52" i="19"/>
  <c r="F47" i="19"/>
  <c r="F67" i="19"/>
  <c r="F60" i="19"/>
  <c r="F61" i="19"/>
  <c r="F14" i="19"/>
  <c r="F94" i="19"/>
  <c r="F32" i="19"/>
  <c r="F9" i="19"/>
  <c r="G67" i="19"/>
  <c r="D67" i="19" s="1"/>
  <c r="G52" i="19"/>
  <c r="D52" i="19" s="1"/>
  <c r="G88" i="19"/>
  <c r="D88" i="19" s="1"/>
  <c r="G82" i="19"/>
  <c r="D82" i="19" s="1"/>
  <c r="G29" i="19"/>
  <c r="D29" i="19" s="1"/>
  <c r="G56" i="19"/>
  <c r="D56" i="19" s="1"/>
  <c r="E61" i="19"/>
  <c r="E88" i="19"/>
  <c r="F18" i="19"/>
  <c r="F63" i="19"/>
  <c r="F75" i="19"/>
  <c r="F68" i="19"/>
  <c r="F69" i="19"/>
  <c r="F22" i="19"/>
  <c r="F7" i="19"/>
  <c r="F56" i="19"/>
  <c r="F41" i="19"/>
  <c r="G87" i="19"/>
  <c r="D87" i="19" s="1"/>
  <c r="G74" i="19"/>
  <c r="D74" i="19" s="1"/>
  <c r="G75" i="19"/>
  <c r="D75" i="19" s="1"/>
  <c r="E33" i="19"/>
  <c r="E67" i="19"/>
  <c r="F42" i="19"/>
  <c r="F87" i="19"/>
  <c r="F92" i="19"/>
  <c r="F77" i="19"/>
  <c r="F30" i="19"/>
  <c r="F79" i="19"/>
  <c r="F33" i="19"/>
  <c r="F73" i="19"/>
  <c r="F50" i="19"/>
  <c r="F11" i="19"/>
  <c r="F91" i="19"/>
  <c r="F5" i="19"/>
  <c r="F85" i="19"/>
  <c r="F38" i="19"/>
  <c r="F25" i="19"/>
  <c r="F65" i="19"/>
  <c r="F17" i="19"/>
  <c r="G89" i="19"/>
  <c r="D89" i="19" s="1"/>
  <c r="E25" i="19"/>
  <c r="F58" i="19"/>
  <c r="G76" i="19"/>
  <c r="D76" i="19" s="1"/>
  <c r="G6" i="19"/>
  <c r="D6" i="19" s="1"/>
  <c r="G39" i="19"/>
  <c r="D39" i="19" s="1"/>
  <c r="F81" i="19"/>
  <c r="F93" i="19"/>
  <c r="F27" i="19"/>
  <c r="G17" i="19"/>
  <c r="D17" i="19" s="1"/>
  <c r="G25" i="19"/>
  <c r="D25" i="19" s="1"/>
  <c r="G8" i="19"/>
  <c r="D8" i="19" s="1"/>
  <c r="F80" i="19"/>
  <c r="F57" i="19"/>
  <c r="F21" i="19"/>
  <c r="F74" i="19"/>
  <c r="G46" i="19"/>
  <c r="D46" i="19" s="1"/>
  <c r="F89" i="19"/>
  <c r="G86" i="19"/>
  <c r="D86" i="19" s="1"/>
  <c r="G79" i="19"/>
  <c r="D79" i="19" s="1"/>
  <c r="F78" i="19"/>
  <c r="F13" i="19"/>
  <c r="F66" i="19"/>
  <c r="E74" i="19"/>
  <c r="F29" i="19"/>
  <c r="F16" i="19"/>
  <c r="F70" i="19"/>
  <c r="F44" i="19"/>
  <c r="E89" i="19"/>
  <c r="G33" i="19"/>
  <c r="D33" i="19" s="1"/>
  <c r="G21" i="19"/>
  <c r="D21" i="19" s="1"/>
  <c r="G30" i="19"/>
  <c r="D30" i="19" s="1"/>
  <c r="G36" i="19"/>
  <c r="D36" i="19" s="1"/>
  <c r="G91" i="19"/>
  <c r="D91" i="19" s="1"/>
  <c r="F40" i="19"/>
  <c r="F62" i="19"/>
  <c r="F36" i="19"/>
  <c r="F19" i="19"/>
  <c r="G61" i="19"/>
  <c r="D61" i="19" s="1"/>
  <c r="G41" i="19"/>
  <c r="D41" i="19" s="1"/>
  <c r="G71" i="19"/>
  <c r="D71" i="19" s="1"/>
  <c r="G49" i="19"/>
  <c r="D49" i="19" s="1"/>
  <c r="F8" i="19"/>
  <c r="F28" i="19"/>
  <c r="E39" i="19"/>
  <c r="C1" i="13"/>
  <c r="E43" i="19"/>
  <c r="C68" i="19" l="1"/>
  <c r="C113" i="19"/>
  <c r="C47" i="19"/>
  <c r="C97" i="19"/>
  <c r="C109" i="19"/>
  <c r="C32" i="19"/>
  <c r="C99" i="19"/>
  <c r="C37" i="19"/>
  <c r="C64" i="19"/>
  <c r="C23" i="19"/>
  <c r="C20" i="19"/>
  <c r="C60" i="19"/>
  <c r="C95" i="19"/>
  <c r="C24" i="19"/>
  <c r="C107" i="19"/>
  <c r="C73" i="19"/>
  <c r="C22" i="19"/>
  <c r="C96" i="19"/>
  <c r="C119" i="19"/>
  <c r="C98" i="19"/>
  <c r="C62" i="19"/>
  <c r="C7" i="19"/>
  <c r="C57" i="19"/>
  <c r="C59" i="19"/>
  <c r="C14" i="19"/>
  <c r="C45" i="19"/>
  <c r="C26" i="19"/>
  <c r="C115" i="19"/>
  <c r="C94" i="19"/>
  <c r="C83" i="19"/>
  <c r="C116" i="19"/>
  <c r="C38" i="19"/>
  <c r="C106" i="19"/>
  <c r="C84" i="19"/>
  <c r="C108" i="19"/>
  <c r="C111" i="19"/>
  <c r="C54" i="19"/>
  <c r="C101" i="19"/>
  <c r="C100" i="19"/>
  <c r="C77" i="19"/>
  <c r="C65" i="19"/>
  <c r="C10" i="19"/>
  <c r="C90" i="19"/>
  <c r="C16" i="19"/>
  <c r="C9" i="19"/>
  <c r="C15" i="19"/>
  <c r="C53" i="19"/>
  <c r="C50" i="19"/>
  <c r="C78" i="19"/>
  <c r="C34" i="19"/>
  <c r="C81" i="19"/>
  <c r="C118" i="19"/>
  <c r="C44" i="19"/>
  <c r="C55" i="19"/>
  <c r="C102" i="19"/>
  <c r="C19" i="19"/>
  <c r="C112" i="19"/>
  <c r="C51" i="19"/>
  <c r="C69" i="19"/>
  <c r="C70" i="19"/>
  <c r="C48" i="19"/>
  <c r="C117" i="19"/>
  <c r="C105" i="19"/>
  <c r="C27" i="19"/>
  <c r="C93" i="19"/>
  <c r="C114" i="19"/>
  <c r="C12" i="19"/>
  <c r="C103" i="19"/>
  <c r="C35" i="19"/>
  <c r="C13" i="19"/>
  <c r="C92" i="19"/>
  <c r="C18" i="19"/>
  <c r="G101" i="19"/>
  <c r="D101" i="19" s="1"/>
  <c r="G96" i="19"/>
  <c r="D96" i="19" s="1"/>
  <c r="G97" i="19"/>
  <c r="D97" i="19" s="1"/>
  <c r="G100" i="19"/>
  <c r="D100" i="19" s="1"/>
  <c r="G112" i="19"/>
  <c r="D112" i="19" s="1"/>
  <c r="G95" i="19"/>
  <c r="D95" i="19" s="1"/>
  <c r="E78" i="19"/>
  <c r="G110" i="19"/>
  <c r="D110" i="19" s="1"/>
  <c r="G115" i="19"/>
  <c r="D115" i="19" s="1"/>
  <c r="G103" i="19"/>
  <c r="D103" i="19" s="1"/>
  <c r="E102" i="19"/>
  <c r="E98" i="19"/>
  <c r="E112" i="19"/>
  <c r="E105" i="19"/>
  <c r="E99" i="19"/>
  <c r="E104" i="19"/>
  <c r="E111" i="19"/>
  <c r="E108" i="19"/>
  <c r="E100" i="19"/>
  <c r="E106" i="19"/>
  <c r="E119" i="19"/>
  <c r="E116" i="19"/>
  <c r="E117" i="19"/>
  <c r="G104" i="19"/>
  <c r="D104" i="19" s="1"/>
  <c r="E113" i="19"/>
  <c r="E109" i="19"/>
  <c r="E97" i="19"/>
  <c r="E101" i="19"/>
  <c r="E96" i="19"/>
  <c r="E115" i="19"/>
  <c r="E114" i="19"/>
  <c r="E110" i="19"/>
  <c r="E118" i="19"/>
  <c r="E103" i="19"/>
  <c r="E107" i="19"/>
  <c r="E95" i="19"/>
  <c r="G116" i="19"/>
  <c r="D116" i="19" s="1"/>
  <c r="E65" i="19"/>
  <c r="E23" i="19"/>
  <c r="G64" i="19"/>
  <c r="D64" i="19" s="1"/>
  <c r="E32" i="19"/>
  <c r="D51" i="19"/>
  <c r="E80" i="19"/>
  <c r="E54" i="19"/>
  <c r="E35" i="19"/>
  <c r="E42" i="19"/>
  <c r="E10" i="19"/>
  <c r="E84" i="19"/>
  <c r="E20" i="19"/>
  <c r="E92" i="19"/>
  <c r="E51" i="19"/>
  <c r="E24" i="19"/>
  <c r="E77" i="19"/>
  <c r="E48" i="19"/>
  <c r="E22" i="19"/>
  <c r="G80" i="19"/>
  <c r="D80" i="19" s="1"/>
  <c r="E13" i="19"/>
  <c r="E68" i="19"/>
  <c r="E94" i="19"/>
  <c r="E9" i="19"/>
  <c r="E73" i="19"/>
  <c r="E66" i="19"/>
  <c r="E45" i="19"/>
  <c r="H88" i="19"/>
  <c r="E58" i="19"/>
  <c r="E62" i="19"/>
  <c r="G10" i="19"/>
  <c r="D10" i="19" s="1"/>
  <c r="E15" i="19"/>
  <c r="E18" i="19"/>
  <c r="E50" i="19"/>
  <c r="E69" i="19"/>
  <c r="G18" i="19"/>
  <c r="D18" i="19" s="1"/>
  <c r="E55" i="19"/>
  <c r="G32" i="19"/>
  <c r="D32" i="19" s="1"/>
  <c r="G48" i="19"/>
  <c r="D48" i="19" s="1"/>
  <c r="G20" i="19"/>
  <c r="D20" i="19" s="1"/>
  <c r="G53" i="19"/>
  <c r="D53" i="19" s="1"/>
  <c r="G69" i="19"/>
  <c r="D69" i="19" s="1"/>
  <c r="G66" i="19"/>
  <c r="D66" i="19" s="1"/>
  <c r="E16" i="19"/>
  <c r="E90" i="19"/>
  <c r="G22" i="19"/>
  <c r="D22" i="19" s="1"/>
  <c r="E44" i="19"/>
  <c r="G73" i="19"/>
  <c r="D73" i="19" s="1"/>
  <c r="G94" i="19"/>
  <c r="D94" i="19" s="1"/>
  <c r="G42" i="19"/>
  <c r="D42" i="19" s="1"/>
  <c r="G24" i="19"/>
  <c r="D24" i="19" s="1"/>
  <c r="H63" i="19"/>
  <c r="E60" i="19"/>
  <c r="E14" i="19"/>
  <c r="E37" i="19"/>
  <c r="G12" i="19"/>
  <c r="D12" i="19" s="1"/>
  <c r="G84" i="19"/>
  <c r="D84" i="19" s="1"/>
  <c r="G16" i="19"/>
  <c r="D16" i="19" s="1"/>
  <c r="D78" i="19"/>
  <c r="G35" i="19"/>
  <c r="D35" i="19" s="1"/>
  <c r="G68" i="19"/>
  <c r="D68" i="19" s="1"/>
  <c r="G44" i="19"/>
  <c r="D44" i="19" s="1"/>
  <c r="G9" i="19"/>
  <c r="D9" i="19" s="1"/>
  <c r="E64" i="19"/>
  <c r="G14" i="19"/>
  <c r="D14" i="19" s="1"/>
  <c r="E53" i="19"/>
  <c r="G60" i="19"/>
  <c r="D60" i="19" s="1"/>
  <c r="G77" i="19"/>
  <c r="D77" i="19" s="1"/>
  <c r="G62" i="19"/>
  <c r="D62" i="19" s="1"/>
  <c r="G54" i="19"/>
  <c r="D54" i="19" s="1"/>
  <c r="H43" i="19"/>
  <c r="G37" i="19"/>
  <c r="D37" i="19" s="1"/>
  <c r="G58" i="19"/>
  <c r="D58" i="19" s="1"/>
  <c r="H36" i="19"/>
  <c r="G15" i="19"/>
  <c r="D15" i="19" s="1"/>
  <c r="G13" i="19"/>
  <c r="D13" i="19" s="1"/>
  <c r="G90" i="19"/>
  <c r="D90" i="19" s="1"/>
  <c r="H72" i="19"/>
  <c r="H67" i="19"/>
  <c r="E83" i="19"/>
  <c r="E93" i="19"/>
  <c r="H82" i="19"/>
  <c r="H86" i="19"/>
  <c r="H87" i="19"/>
  <c r="H76" i="19"/>
  <c r="H17" i="19"/>
  <c r="G43" i="19"/>
  <c r="D43" i="19" s="1"/>
  <c r="G31" i="19"/>
  <c r="D31" i="19" s="1"/>
  <c r="H91" i="19"/>
  <c r="G40" i="19"/>
  <c r="D40" i="19" s="1"/>
  <c r="H41" i="19"/>
  <c r="G65" i="19"/>
  <c r="D65" i="19" s="1"/>
  <c r="G11" i="19"/>
  <c r="D11" i="19" s="1"/>
  <c r="H75" i="19"/>
  <c r="H46" i="19"/>
  <c r="G23" i="19"/>
  <c r="D23" i="19" s="1"/>
  <c r="E38" i="19"/>
  <c r="H21" i="19"/>
  <c r="H56" i="19"/>
  <c r="H61" i="19"/>
  <c r="H85" i="19"/>
  <c r="H71" i="19"/>
  <c r="P8" i="13"/>
  <c r="O9" i="13"/>
  <c r="H49" i="19"/>
  <c r="D34" i="19"/>
  <c r="G59" i="19"/>
  <c r="D59" i="19" s="1"/>
  <c r="E31" i="19"/>
  <c r="G28" i="19"/>
  <c r="D28" i="19" s="1"/>
  <c r="H89" i="19"/>
  <c r="H8" i="19"/>
  <c r="H29" i="19"/>
  <c r="E7" i="19"/>
  <c r="E11" i="19"/>
  <c r="E5" i="19"/>
  <c r="G57" i="19"/>
  <c r="D57" i="19" s="1"/>
  <c r="G81" i="19"/>
  <c r="D81" i="19" s="1"/>
  <c r="H39" i="19"/>
  <c r="H74" i="19"/>
  <c r="E26" i="19"/>
  <c r="E47" i="19"/>
  <c r="G19" i="19"/>
  <c r="D19" i="19" s="1"/>
  <c r="C80" i="19"/>
  <c r="G83" i="19"/>
  <c r="D83" i="19" s="1"/>
  <c r="G70" i="19"/>
  <c r="D70" i="19" s="1"/>
  <c r="D7" i="19"/>
  <c r="G45" i="19"/>
  <c r="D45" i="19" s="1"/>
  <c r="H33" i="19"/>
  <c r="H52" i="19"/>
  <c r="G27" i="19"/>
  <c r="D27" i="19" s="1"/>
  <c r="G55" i="19"/>
  <c r="D55" i="19" s="1"/>
  <c r="G50" i="19"/>
  <c r="D50" i="19" s="1"/>
  <c r="G92" i="19"/>
  <c r="D92" i="19" s="1"/>
  <c r="E28" i="19"/>
  <c r="H25" i="19"/>
  <c r="H79" i="19"/>
  <c r="E34" i="19"/>
  <c r="G38" i="19"/>
  <c r="D38" i="19" s="1"/>
  <c r="G93" i="19"/>
  <c r="D93" i="19" s="1"/>
  <c r="E59" i="19"/>
  <c r="G5" i="19"/>
  <c r="D5" i="19" s="1"/>
  <c r="H30" i="19"/>
  <c r="E81" i="19"/>
  <c r="H6" i="19"/>
  <c r="E27" i="19"/>
  <c r="E57" i="19"/>
  <c r="G47" i="19"/>
  <c r="D47" i="19" s="1"/>
  <c r="G26" i="19"/>
  <c r="D26" i="19" s="1"/>
  <c r="E40" i="19"/>
  <c r="E19" i="19"/>
  <c r="E70" i="19"/>
  <c r="C104" i="19" l="1"/>
  <c r="H104" i="19" s="1"/>
  <c r="C5" i="19"/>
  <c r="H5" i="19" s="1"/>
  <c r="C110" i="19"/>
  <c r="H110" i="19" s="1"/>
  <c r="H55" i="19"/>
  <c r="H103" i="19"/>
  <c r="H20" i="19"/>
  <c r="H62" i="19"/>
  <c r="H45" i="19"/>
  <c r="H109" i="19"/>
  <c r="H47" i="19"/>
  <c r="H38" i="19"/>
  <c r="H99" i="19"/>
  <c r="H98" i="19"/>
  <c r="H44" i="19"/>
  <c r="H106" i="19"/>
  <c r="H119" i="19"/>
  <c r="H28" i="19"/>
  <c r="H100" i="19"/>
  <c r="H111" i="19"/>
  <c r="H95" i="19"/>
  <c r="H105" i="19"/>
  <c r="H96" i="19"/>
  <c r="H108" i="19"/>
  <c r="H102" i="19"/>
  <c r="H114" i="19"/>
  <c r="H118" i="19"/>
  <c r="H115" i="19"/>
  <c r="H112" i="19"/>
  <c r="H116" i="19"/>
  <c r="H97" i="19"/>
  <c r="H101" i="19"/>
  <c r="H113" i="19"/>
  <c r="H117" i="19"/>
  <c r="H107" i="19"/>
  <c r="H32" i="19"/>
  <c r="H35" i="19"/>
  <c r="H14" i="19"/>
  <c r="H80" i="19"/>
  <c r="H12" i="19"/>
  <c r="H10" i="19"/>
  <c r="H92" i="19"/>
  <c r="H48" i="19"/>
  <c r="H16" i="19"/>
  <c r="H42" i="19"/>
  <c r="H57" i="19"/>
  <c r="H94" i="19"/>
  <c r="H66" i="19"/>
  <c r="H58" i="19"/>
  <c r="H84" i="19"/>
  <c r="H69" i="19"/>
  <c r="H77" i="19"/>
  <c r="H68" i="19"/>
  <c r="H24" i="19"/>
  <c r="H13" i="19"/>
  <c r="H73" i="19"/>
  <c r="H18" i="19"/>
  <c r="H22" i="19"/>
  <c r="H9" i="19"/>
  <c r="H51" i="19"/>
  <c r="H54" i="19"/>
  <c r="H15" i="19"/>
  <c r="H50" i="19"/>
  <c r="H60" i="19"/>
  <c r="H31" i="19"/>
  <c r="H78" i="19"/>
  <c r="H59" i="19"/>
  <c r="H64" i="19"/>
  <c r="H53" i="19"/>
  <c r="H90" i="19"/>
  <c r="H27" i="19"/>
  <c r="H37" i="19"/>
  <c r="H81" i="19"/>
  <c r="H23" i="19"/>
  <c r="H40" i="19"/>
  <c r="H65" i="19"/>
  <c r="E120" i="19"/>
  <c r="H93" i="19"/>
  <c r="H26" i="19"/>
  <c r="H11" i="19"/>
  <c r="H70" i="19"/>
  <c r="P9" i="13"/>
  <c r="O10" i="13"/>
  <c r="H7" i="19"/>
  <c r="H34" i="19"/>
  <c r="H19" i="19"/>
  <c r="M1" i="13"/>
  <c r="C120" i="19" l="1"/>
  <c r="H83" i="19"/>
  <c r="H120" i="19" s="1"/>
  <c r="O11" i="13"/>
  <c r="P11" i="13" s="1"/>
  <c r="P1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Erika Najarro</author>
    <author>Microsoft Office User</author>
    <author>tc={D5AEE69C-3429-4DD6-BF95-02708E78E556}</author>
    <author>tc={9E8E1926-5179-470E-9E15-AD2644721829}</author>
  </authors>
  <commentList>
    <comment ref="H4" authorId="0" shapeId="0" xr:uid="{00000000-0006-0000-0000-000001000000}">
      <text>
        <r>
          <rPr>
            <b/>
            <sz val="9"/>
            <color indexed="81"/>
            <rFont val="Tahoma"/>
            <family val="2"/>
          </rPr>
          <t>Erika Najarro:</t>
        </r>
        <r>
          <rPr>
            <sz val="9"/>
            <color indexed="81"/>
            <rFont val="Tahoma"/>
            <family val="2"/>
          </rPr>
          <t xml:space="preserve">
10 years from start</t>
        </r>
      </text>
    </comment>
    <comment ref="I4" authorId="0" shapeId="0" xr:uid="{00000000-0006-0000-0000-000002000000}">
      <text>
        <r>
          <rPr>
            <b/>
            <sz val="9"/>
            <color indexed="81"/>
            <rFont val="Tahoma"/>
            <family val="2"/>
          </rPr>
          <t>Erika Najarro:</t>
        </r>
        <r>
          <rPr>
            <sz val="9"/>
            <color indexed="81"/>
            <rFont val="Tahoma"/>
            <family val="2"/>
          </rPr>
          <t xml:space="preserve">
12 weeks from start - Non-Founders only</t>
        </r>
      </text>
    </comment>
    <comment ref="E11" authorId="0" shapeId="0" xr:uid="{00000000-0006-0000-0000-000003000000}">
      <text>
        <r>
          <rPr>
            <b/>
            <sz val="9"/>
            <color indexed="81"/>
            <rFont val="Tahoma"/>
            <family val="2"/>
          </rPr>
          <t>Erika Najarro:</t>
        </r>
        <r>
          <rPr>
            <sz val="9"/>
            <color indexed="81"/>
            <rFont val="Tahoma"/>
            <family val="2"/>
          </rPr>
          <t xml:space="preserve">
Location to receive Founders Group rate per addendum in FA</t>
        </r>
      </text>
    </comment>
    <comment ref="R30" authorId="0" shapeId="0" xr:uid="{00000000-0006-0000-0000-000004000000}">
      <text>
        <r>
          <rPr>
            <b/>
            <sz val="9"/>
            <color indexed="81"/>
            <rFont val="Tahoma"/>
            <family val="2"/>
          </rPr>
          <t>Erika Najarro:</t>
        </r>
        <r>
          <rPr>
            <sz val="9"/>
            <color indexed="81"/>
            <rFont val="Tahoma"/>
            <family val="2"/>
          </rPr>
          <t xml:space="preserve">
Flat 5% rate</t>
        </r>
      </text>
    </comment>
    <comment ref="L44" authorId="0" shapeId="0" xr:uid="{00000000-0006-0000-0000-000006000000}">
      <text>
        <r>
          <rPr>
            <b/>
            <sz val="9"/>
            <color indexed="81"/>
            <rFont val="Tahoma"/>
            <family val="2"/>
          </rPr>
          <t>Erika Najarro:</t>
        </r>
        <r>
          <rPr>
            <sz val="9"/>
            <color indexed="81"/>
            <rFont val="Tahoma"/>
            <family val="2"/>
          </rPr>
          <t xml:space="preserve">
Adjusted Royalty Fees at 2.5%, 3.5%, 4.5%, and 5% per contract</t>
        </r>
      </text>
    </comment>
    <comment ref="R48" authorId="0" shapeId="0" xr:uid="{00000000-0006-0000-0000-000007000000}">
      <text>
        <r>
          <rPr>
            <b/>
            <sz val="9"/>
            <color indexed="81"/>
            <rFont val="Tahoma"/>
            <family val="2"/>
          </rPr>
          <t>Erika Najarro:</t>
        </r>
        <r>
          <rPr>
            <sz val="9"/>
            <color indexed="81"/>
            <rFont val="Tahoma"/>
            <family val="2"/>
          </rPr>
          <t xml:space="preserve">
Flat 5% rate</t>
        </r>
      </text>
    </comment>
    <comment ref="R56" authorId="0" shapeId="0" xr:uid="{00000000-0006-0000-0000-000008000000}">
      <text>
        <r>
          <rPr>
            <b/>
            <sz val="9"/>
            <color indexed="81"/>
            <rFont val="Tahoma"/>
            <family val="2"/>
          </rPr>
          <t>Erika Najarro:</t>
        </r>
        <r>
          <rPr>
            <sz val="9"/>
            <color indexed="81"/>
            <rFont val="Tahoma"/>
            <family val="2"/>
          </rPr>
          <t xml:space="preserve">
Flat 5% rate</t>
        </r>
      </text>
    </comment>
    <comment ref="R66" authorId="0" shapeId="0" xr:uid="{00000000-0006-0000-0000-000009000000}">
      <text>
        <r>
          <rPr>
            <b/>
            <sz val="9"/>
            <color indexed="81"/>
            <rFont val="Tahoma"/>
            <family val="2"/>
          </rPr>
          <t>Erika Najarro:</t>
        </r>
        <r>
          <rPr>
            <sz val="9"/>
            <color indexed="81"/>
            <rFont val="Tahoma"/>
            <family val="2"/>
          </rPr>
          <t xml:space="preserve">
Flat 5% rate</t>
        </r>
      </text>
    </comment>
    <comment ref="R76" authorId="1" shapeId="0" xr:uid="{00000000-0006-0000-0000-00000A000000}">
      <text>
        <r>
          <rPr>
            <b/>
            <sz val="10"/>
            <color indexed="81"/>
            <rFont val="Calibri"/>
            <family val="2"/>
          </rPr>
          <t>Flat 5% Rate</t>
        </r>
      </text>
    </comment>
    <comment ref="R78" authorId="0" shapeId="0" xr:uid="{00000000-0006-0000-0000-00000C000000}">
      <text>
        <r>
          <rPr>
            <b/>
            <sz val="9"/>
            <color rgb="FF000000"/>
            <rFont val="Tahoma"/>
            <family val="2"/>
          </rPr>
          <t>Erika Najarro:</t>
        </r>
        <r>
          <rPr>
            <sz val="9"/>
            <color rgb="FF000000"/>
            <rFont val="Tahoma"/>
            <family val="2"/>
          </rPr>
          <t xml:space="preserve">
</t>
        </r>
        <r>
          <rPr>
            <sz val="9"/>
            <color rgb="FF000000"/>
            <rFont val="Tahoma"/>
            <family val="2"/>
          </rPr>
          <t>Flat 5% rate</t>
        </r>
      </text>
    </comment>
    <comment ref="R79" authorId="0" shapeId="0" xr:uid="{00000000-0006-0000-0000-00000D000000}">
      <text>
        <r>
          <rPr>
            <b/>
            <sz val="9"/>
            <color indexed="81"/>
            <rFont val="Tahoma"/>
            <family val="2"/>
          </rPr>
          <t>Erika Najarro:</t>
        </r>
        <r>
          <rPr>
            <sz val="9"/>
            <color indexed="81"/>
            <rFont val="Tahoma"/>
            <family val="2"/>
          </rPr>
          <t xml:space="preserve">
Flat 5% rate</t>
        </r>
      </text>
    </comment>
    <comment ref="M81" authorId="0" shapeId="0" xr:uid="{0D1792B8-0719-0344-AFEC-CB2F16621973}">
      <text>
        <r>
          <rPr>
            <b/>
            <sz val="9"/>
            <color rgb="FF000000"/>
            <rFont val="Tahoma"/>
            <family val="2"/>
          </rPr>
          <t>Erika Najarro:</t>
        </r>
        <r>
          <rPr>
            <sz val="9"/>
            <color rgb="FF000000"/>
            <rFont val="Tahoma"/>
            <family val="2"/>
          </rPr>
          <t xml:space="preserve">
</t>
        </r>
        <r>
          <rPr>
            <sz val="9"/>
            <color rgb="FF000000"/>
            <rFont val="Tahoma"/>
            <family val="2"/>
          </rPr>
          <t>Flat 5% rate</t>
        </r>
      </text>
    </comment>
    <comment ref="R84" authorId="0" shapeId="0" xr:uid="{AEDEA999-1DE2-4390-A5FA-D1930F93F3CD}">
      <text>
        <r>
          <rPr>
            <b/>
            <sz val="9"/>
            <color indexed="81"/>
            <rFont val="Tahoma"/>
            <family val="2"/>
          </rPr>
          <t>Erika Najarro:</t>
        </r>
        <r>
          <rPr>
            <sz val="9"/>
            <color indexed="81"/>
            <rFont val="Tahoma"/>
            <family val="2"/>
          </rPr>
          <t xml:space="preserve">
Flat 5% rate</t>
        </r>
      </text>
    </comment>
    <comment ref="R85" authorId="0" shapeId="0" xr:uid="{B7C1BE14-9978-4339-B294-70615FF94C55}">
      <text>
        <r>
          <rPr>
            <b/>
            <sz val="9"/>
            <color indexed="81"/>
            <rFont val="Tahoma"/>
            <family val="2"/>
          </rPr>
          <t>Erika Najarro:</t>
        </r>
        <r>
          <rPr>
            <sz val="9"/>
            <color indexed="81"/>
            <rFont val="Tahoma"/>
            <family val="2"/>
          </rPr>
          <t xml:space="preserve">
Flat 5% rate</t>
        </r>
      </text>
    </comment>
    <comment ref="G86" authorId="0" shapeId="0" xr:uid="{6C5DB2B8-6620-47BF-B0A3-4E6C52888472}">
      <text>
        <r>
          <rPr>
            <b/>
            <sz val="9"/>
            <color indexed="81"/>
            <rFont val="Tahoma"/>
            <family val="2"/>
          </rPr>
          <t>Erika Najarro:</t>
        </r>
        <r>
          <rPr>
            <sz val="9"/>
            <color indexed="81"/>
            <rFont val="Tahoma"/>
            <family val="2"/>
          </rPr>
          <t xml:space="preserve">
Marketing Fee 0.75%, per FA</t>
        </r>
      </text>
    </comment>
    <comment ref="R86" authorId="0" shapeId="0" xr:uid="{9F025EB3-6BD9-49E8-95FC-625E3EC67AAC}">
      <text>
        <r>
          <rPr>
            <b/>
            <sz val="9"/>
            <color indexed="81"/>
            <rFont val="Tahoma"/>
            <family val="2"/>
          </rPr>
          <t>Erika Najarro:</t>
        </r>
        <r>
          <rPr>
            <sz val="9"/>
            <color indexed="81"/>
            <rFont val="Tahoma"/>
            <family val="2"/>
          </rPr>
          <t xml:space="preserve">
No Continuing Fee on first $100,000 of sales. 5% Continuing Fee after $100,000 is reached.</t>
        </r>
      </text>
    </comment>
    <comment ref="R92" authorId="0" shapeId="0" xr:uid="{7631AA13-572B-4EC5-ABD4-4709E06ACC11}">
      <text>
        <r>
          <rPr>
            <b/>
            <sz val="9"/>
            <color indexed="81"/>
            <rFont val="Tahoma"/>
            <family val="2"/>
          </rPr>
          <t>Erika Najarro:</t>
        </r>
        <r>
          <rPr>
            <sz val="9"/>
            <color indexed="81"/>
            <rFont val="Tahoma"/>
            <family val="2"/>
          </rPr>
          <t xml:space="preserve">
Flat 5% rate</t>
        </r>
      </text>
    </comment>
    <comment ref="R93" authorId="0" shapeId="0" xr:uid="{61773819-6C38-47F3-92DA-38DF21355822}">
      <text>
        <r>
          <rPr>
            <b/>
            <sz val="9"/>
            <color indexed="81"/>
            <rFont val="Tahoma"/>
            <family val="2"/>
          </rPr>
          <t>Erika Najarro:</t>
        </r>
        <r>
          <rPr>
            <sz val="9"/>
            <color indexed="81"/>
            <rFont val="Tahoma"/>
            <family val="2"/>
          </rPr>
          <t xml:space="preserve">
Flat 5% rate</t>
        </r>
      </text>
    </comment>
    <comment ref="A95" authorId="0" shapeId="0" xr:uid="{5939B7F9-2FD6-4E2E-B80A-CEEA83448434}">
      <text>
        <r>
          <rPr>
            <b/>
            <sz val="9"/>
            <color indexed="81"/>
            <rFont val="Tahoma"/>
            <family val="2"/>
          </rPr>
          <t>Erika Najarro:</t>
        </r>
        <r>
          <rPr>
            <sz val="9"/>
            <color indexed="81"/>
            <rFont val="Tahoma"/>
            <family val="2"/>
          </rPr>
          <t xml:space="preserve">
Confirm rates per FA</t>
        </r>
      </text>
    </comment>
    <comment ref="E95" authorId="0" shapeId="0" xr:uid="{7C7122FD-767F-46D0-B4D7-EAD69EC77733}">
      <text>
        <r>
          <rPr>
            <b/>
            <sz val="9"/>
            <color indexed="81"/>
            <rFont val="Tahoma"/>
            <family val="2"/>
          </rPr>
          <t>Erika Najarro:</t>
        </r>
        <r>
          <rPr>
            <sz val="9"/>
            <color indexed="81"/>
            <rFont val="Tahoma"/>
            <family val="2"/>
          </rPr>
          <t xml:space="preserve">
Location to receive Founders Group rate -confirm per FA</t>
        </r>
      </text>
    </comment>
    <comment ref="G96" authorId="0" shapeId="0" xr:uid="{C369FB27-4E68-4D04-B93E-E7742A47A75C}">
      <text>
        <r>
          <rPr>
            <b/>
            <sz val="9"/>
            <color indexed="81"/>
            <rFont val="Tahoma"/>
            <family val="2"/>
          </rPr>
          <t>Erika Najarro:</t>
        </r>
        <r>
          <rPr>
            <sz val="9"/>
            <color indexed="81"/>
            <rFont val="Tahoma"/>
            <family val="2"/>
          </rPr>
          <t xml:space="preserve">
Marketing fee 0.5%, per FA</t>
        </r>
      </text>
    </comment>
    <comment ref="R96" authorId="0" shapeId="0" xr:uid="{7AF73241-02E3-479A-9664-0BE5BB21996E}">
      <text>
        <r>
          <rPr>
            <b/>
            <sz val="9"/>
            <color indexed="81"/>
            <rFont val="Tahoma"/>
            <family val="2"/>
          </rPr>
          <t>Erika Najarro:</t>
        </r>
        <r>
          <rPr>
            <sz val="9"/>
            <color indexed="81"/>
            <rFont val="Tahoma"/>
            <family val="2"/>
          </rPr>
          <t xml:space="preserve">
6% rate per FA</t>
        </r>
      </text>
    </comment>
    <comment ref="R97" authorId="0" shapeId="0" xr:uid="{0398A194-AAEC-4546-B180-D2FF45967338}">
      <text>
        <r>
          <rPr>
            <b/>
            <sz val="9"/>
            <color indexed="81"/>
            <rFont val="Tahoma"/>
            <family val="2"/>
          </rPr>
          <t>Erika Najarro:</t>
        </r>
        <r>
          <rPr>
            <sz val="9"/>
            <color indexed="81"/>
            <rFont val="Tahoma"/>
            <family val="2"/>
          </rPr>
          <t xml:space="preserve">
Flat 5% rate</t>
        </r>
      </text>
    </comment>
    <comment ref="R98" authorId="0" shapeId="0" xr:uid="{92D32804-1621-4F0F-8239-30FCF7D860E7}">
      <text>
        <r>
          <rPr>
            <b/>
            <sz val="9"/>
            <color indexed="81"/>
            <rFont val="Tahoma"/>
            <family val="2"/>
          </rPr>
          <t>Erika Najarro:</t>
        </r>
        <r>
          <rPr>
            <sz val="9"/>
            <color indexed="81"/>
            <rFont val="Tahoma"/>
            <family val="2"/>
          </rPr>
          <t xml:space="preserve">
2.5% until 12/31/18, then 5% for remaining term</t>
        </r>
      </text>
    </comment>
    <comment ref="R100" authorId="0" shapeId="0" xr:uid="{7552406E-60B1-44C8-90B3-88272B6BADA9}">
      <text>
        <r>
          <rPr>
            <b/>
            <sz val="9"/>
            <color indexed="81"/>
            <rFont val="Tahoma"/>
            <family val="2"/>
          </rPr>
          <t>Erika Najarro:</t>
        </r>
        <r>
          <rPr>
            <sz val="9"/>
            <color indexed="81"/>
            <rFont val="Tahoma"/>
            <family val="2"/>
          </rPr>
          <t xml:space="preserve">
2.5% until 3/31 (required opening date), then 5% for remaining term</t>
        </r>
      </text>
    </comment>
    <comment ref="R102" authorId="0" shapeId="0" xr:uid="{CE61BF59-5244-4820-8D6D-4BCE522B98CB}">
      <text>
        <r>
          <rPr>
            <b/>
            <sz val="9"/>
            <color indexed="81"/>
            <rFont val="Tahoma"/>
            <family val="2"/>
          </rPr>
          <t>Erika Najarro:</t>
        </r>
        <r>
          <rPr>
            <sz val="9"/>
            <color indexed="81"/>
            <rFont val="Tahoma"/>
            <family val="2"/>
          </rPr>
          <t xml:space="preserve">
Flat 5% rate</t>
        </r>
      </text>
    </comment>
    <comment ref="R104" authorId="0" shapeId="0" xr:uid="{9970064D-3BA0-463E-A616-0CA4CF4D2CC4}">
      <text>
        <r>
          <rPr>
            <b/>
            <sz val="9"/>
            <color indexed="81"/>
            <rFont val="Tahoma"/>
            <family val="2"/>
          </rPr>
          <t>Erika Najarro:</t>
        </r>
        <r>
          <rPr>
            <sz val="9"/>
            <color indexed="81"/>
            <rFont val="Tahoma"/>
            <family val="2"/>
          </rPr>
          <t xml:space="preserve">
Flat 5% rate</t>
        </r>
      </text>
    </comment>
    <comment ref="R105" authorId="0" shapeId="0" xr:uid="{F8861F36-4C34-4148-AE1D-06D06F15076E}">
      <text>
        <r>
          <rPr>
            <b/>
            <sz val="9"/>
            <color indexed="81"/>
            <rFont val="Tahoma"/>
            <family val="2"/>
          </rPr>
          <t>Erika Najarro:</t>
        </r>
        <r>
          <rPr>
            <sz val="9"/>
            <color indexed="81"/>
            <rFont val="Tahoma"/>
            <family val="2"/>
          </rPr>
          <t xml:space="preserve">
Flat 5% rate</t>
        </r>
      </text>
    </comment>
    <comment ref="R106" authorId="0" shapeId="0" xr:uid="{3AD5F901-6687-4BAB-B4A1-6170D147AA30}">
      <text>
        <r>
          <rPr>
            <b/>
            <sz val="9"/>
            <color indexed="81"/>
            <rFont val="Tahoma"/>
            <family val="2"/>
          </rPr>
          <t>Erika Najarro:</t>
        </r>
        <r>
          <rPr>
            <sz val="9"/>
            <color indexed="81"/>
            <rFont val="Tahoma"/>
            <family val="2"/>
          </rPr>
          <t xml:space="preserve">
Flat 5% rate</t>
        </r>
      </text>
    </comment>
    <comment ref="R108" authorId="2" shapeId="0" xr:uid="{D5AEE69C-3429-4DD6-BF95-02708E78E556}">
      <text>
        <t>[Threaded comment]
Your version of Excel allows you to read this threaded comment; however, any edits to it will get removed if the file is opened in a newer version of Excel. Learn more: https://go.microsoft.com/fwlink/?linkid=870924
Comment:
    Flat 5% rate</t>
      </text>
    </comment>
    <comment ref="S116" authorId="3" shapeId="0" xr:uid="{9E8E1926-5179-470E-9E15-AD2644721829}">
      <text>
        <t>[Threaded comment]
Your version of Excel allows you to read this threaded comment; however, any edits to it will get removed if the file is opened in a newer version of Excel. Learn more: https://go.microsoft.com/fwlink/?linkid=870924
Comment:
    Flat 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tc={69287BF8-3BB4-4A2D-9C7E-5ABF1AB651E5}</author>
  </authors>
  <commentList>
    <comment ref="P4" authorId="0" shapeId="0" xr:uid="{69287BF8-3BB4-4A2D-9C7E-5ABF1AB651E5}">
      <text>
        <t>[Threaded comment]
Your version of Excel allows you to read this threaded comment; however, any edits to it will get removed if the file is opened in a newer version of Excel. Learn more: https://go.microsoft.com/fwlink/?linkid=870924
Comment:
    Northwestern &amp; DTW billed monthly, separate from these weekly billings. Store count less two is actual count.</t>
      </text>
    </comment>
  </commentList>
</comments>
</file>

<file path=xl/sharedStrings.xml><?xml version="1.0" encoding="utf-8"?>
<sst xmlns="http://schemas.openxmlformats.org/spreadsheetml/2006/main" count="2993" uniqueCount="605">
  <si>
    <t>Date</t>
  </si>
  <si>
    <t>Sum of MOD #</t>
  </si>
  <si>
    <t>Store</t>
  </si>
  <si>
    <t>Asheville</t>
  </si>
  <si>
    <t>Blue Springs</t>
  </si>
  <si>
    <t>Brighton</t>
  </si>
  <si>
    <t>Canton</t>
  </si>
  <si>
    <t>Castle Rock</t>
  </si>
  <si>
    <t>Centre Avenue</t>
  </si>
  <si>
    <t>Chesterfield Township</t>
  </si>
  <si>
    <t>Chico</t>
  </si>
  <si>
    <t>Falcon Landing</t>
  </si>
  <si>
    <t>Fayetteville</t>
  </si>
  <si>
    <t>Forest Trace</t>
  </si>
  <si>
    <t>Gahanna</t>
  </si>
  <si>
    <t>Hamburg</t>
  </si>
  <si>
    <t>Hikes Point</t>
  </si>
  <si>
    <t>Howe Bout Arden</t>
  </si>
  <si>
    <t>King &amp; Calhoun</t>
  </si>
  <si>
    <t>Liberty Triangle</t>
  </si>
  <si>
    <t>McCaslin Marketplace</t>
  </si>
  <si>
    <t>Millbrook Road</t>
  </si>
  <si>
    <t>Morse Road</t>
  </si>
  <si>
    <t>NE Columbia</t>
  </si>
  <si>
    <t>North Charleston</t>
  </si>
  <si>
    <t>North Myrtle Beach</t>
  </si>
  <si>
    <t>Northville</t>
  </si>
  <si>
    <t>Oakley</t>
  </si>
  <si>
    <t>Owensboro</t>
  </si>
  <si>
    <t>Park Meadows</t>
  </si>
  <si>
    <t>Polaris</t>
  </si>
  <si>
    <t>Rivergate</t>
  </si>
  <si>
    <t>Rochester Hills</t>
  </si>
  <si>
    <t>Shelby Township</t>
  </si>
  <si>
    <t>South Myrtle Beach</t>
  </si>
  <si>
    <t>West Chester</t>
  </si>
  <si>
    <t>Westwood Plaza</t>
  </si>
  <si>
    <t>Woodhaven</t>
  </si>
  <si>
    <t>Woodhill</t>
  </si>
  <si>
    <t>Woodland</t>
  </si>
  <si>
    <t>Marketing Fee</t>
  </si>
  <si>
    <t>Wake Forest</t>
  </si>
  <si>
    <t>MOD Super Fast Pizza (Franchising), LLC</t>
  </si>
  <si>
    <t>Franchise Tracker</t>
  </si>
  <si>
    <t>Franchise Partner Info</t>
  </si>
  <si>
    <t>Contact Information</t>
  </si>
  <si>
    <t>Partner Group</t>
  </si>
  <si>
    <t>Founders/Non-Founders</t>
  </si>
  <si>
    <t>Principal Name</t>
  </si>
  <si>
    <t>Region</t>
  </si>
  <si>
    <t>Stores Committed</t>
  </si>
  <si>
    <t>Stores Open</t>
  </si>
  <si>
    <t>Principal Contact 1</t>
  </si>
  <si>
    <t>Principal Contact 2</t>
  </si>
  <si>
    <t>Billing Contact 1</t>
  </si>
  <si>
    <t>Billing Contact 2</t>
  </si>
  <si>
    <t>Billing Contact 3</t>
  </si>
  <si>
    <t>Best Pizza LLC</t>
  </si>
  <si>
    <t>Founders</t>
  </si>
  <si>
    <t>Merullo</t>
  </si>
  <si>
    <t>CO</t>
  </si>
  <si>
    <t>Bob Merullo</t>
  </si>
  <si>
    <t>Kevin Embree</t>
  </si>
  <si>
    <t>aakehurst@emhllc.com</t>
  </si>
  <si>
    <t>kembree@emhllc.com</t>
  </si>
  <si>
    <t>Rolling Dough LLC</t>
  </si>
  <si>
    <t>Connolly</t>
  </si>
  <si>
    <t>GA/SC</t>
  </si>
  <si>
    <t>Rich Connolly</t>
  </si>
  <si>
    <t>rconnolly11@aol.com</t>
  </si>
  <si>
    <t>RTHT Investments LLC</t>
  </si>
  <si>
    <t>Goldman</t>
  </si>
  <si>
    <t>NC</t>
  </si>
  <si>
    <t>Yaron Goldman</t>
  </si>
  <si>
    <t>Merrick McKinnie</t>
  </si>
  <si>
    <t>MMcKinnie@sd-holdings.com</t>
  </si>
  <si>
    <t>mmcguire@sd-holdings.com</t>
  </si>
  <si>
    <t>SFP DEVELOPMENT COMPANY, LLC</t>
  </si>
  <si>
    <t>Sanders</t>
  </si>
  <si>
    <t>CA</t>
  </si>
  <si>
    <t>Jeremy Sanders</t>
  </si>
  <si>
    <t>Trevor Sanders</t>
  </si>
  <si>
    <t>angela@sandersunltd.com</t>
  </si>
  <si>
    <t>Jeremy@sandersunltd.com</t>
  </si>
  <si>
    <t>trevor@sandersunltd.com</t>
  </si>
  <si>
    <t>TSFR Pizza LLC</t>
  </si>
  <si>
    <t>Schostak</t>
  </si>
  <si>
    <t>MI</t>
  </si>
  <si>
    <t>Mark Schostak</t>
  </si>
  <si>
    <t>cbarnes@teamschostak.com</t>
  </si>
  <si>
    <t>jkellstrom@teamschostak.com</t>
  </si>
  <si>
    <t>kdavidson@teamschostak.com</t>
  </si>
  <si>
    <t>Cool Dough Development, LLC</t>
  </si>
  <si>
    <t>Non-Founders</t>
  </si>
  <si>
    <t>Denning</t>
  </si>
  <si>
    <t>KY/OH</t>
  </si>
  <si>
    <t>Garyen Denning</t>
  </si>
  <si>
    <t>ahicks@CRMCO.com</t>
  </si>
  <si>
    <t>craig@cooldough.com</t>
  </si>
  <si>
    <t>Food for Thought Restaurant Group - South, LLC</t>
  </si>
  <si>
    <t>Levan (BBX Capital)</t>
  </si>
  <si>
    <t>FL</t>
  </si>
  <si>
    <t>Jarett Levan</t>
  </si>
  <si>
    <t>jlevan@bbxcapital.com</t>
  </si>
  <si>
    <t>Food for Thought Restaurant Group - Central, LLC</t>
  </si>
  <si>
    <t>Paceline Partners, LLC</t>
  </si>
  <si>
    <t>Womack</t>
  </si>
  <si>
    <t>KS/MO/OH</t>
  </si>
  <si>
    <t>Scott Womack</t>
  </si>
  <si>
    <t>aadams@womackrestaurants.com</t>
  </si>
  <si>
    <t>Southern Pie</t>
  </si>
  <si>
    <t>Hill/Hayden</t>
  </si>
  <si>
    <t>AL/GA</t>
  </si>
  <si>
    <t>Kimberly Hayden</t>
  </si>
  <si>
    <t>Royalty Info</t>
  </si>
  <si>
    <t>Open Date</t>
  </si>
  <si>
    <t>Fee Type</t>
  </si>
  <si>
    <t>Royalty %</t>
  </si>
  <si>
    <t>Royalty Start Date</t>
  </si>
  <si>
    <t>Franchisee</t>
  </si>
  <si>
    <t>Grand Total</t>
  </si>
  <si>
    <t>Sum of Marketing Fee</t>
  </si>
  <si>
    <t>Total</t>
  </si>
  <si>
    <t>Sum of Total</t>
  </si>
  <si>
    <t>MOD Pizza</t>
  </si>
  <si>
    <t>Franchise Royalty Calculations</t>
  </si>
  <si>
    <t>Week Ending</t>
  </si>
  <si>
    <t>Gross Sales</t>
  </si>
  <si>
    <t>Net Sales</t>
  </si>
  <si>
    <t>Royalty Rate</t>
  </si>
  <si>
    <t>Calculations</t>
  </si>
  <si>
    <t>Auburn Village</t>
  </si>
  <si>
    <t>Carolina Forest</t>
  </si>
  <si>
    <t>Kennesaw</t>
  </si>
  <si>
    <t>Southern Pie LLC</t>
  </si>
  <si>
    <t>Englewood</t>
  </si>
  <si>
    <t>Matthews</t>
  </si>
  <si>
    <t>Tates Creek</t>
  </si>
  <si>
    <t>Sawmill Road</t>
  </si>
  <si>
    <t>Raymore</t>
  </si>
  <si>
    <t>Royalty Fee</t>
  </si>
  <si>
    <t>Franchise Locations &amp; Royalty Info</t>
  </si>
  <si>
    <t>Location</t>
  </si>
  <si>
    <t>2.5%</t>
  </si>
  <si>
    <t>Start Period</t>
  </si>
  <si>
    <t>End Period - 2%</t>
  </si>
  <si>
    <t>2%</t>
  </si>
  <si>
    <t>End Period - 3%</t>
  </si>
  <si>
    <t>3%</t>
  </si>
  <si>
    <t>End Period - 4%</t>
  </si>
  <si>
    <t>4%</t>
  </si>
  <si>
    <t>End Period - 5%</t>
  </si>
  <si>
    <t>5%</t>
  </si>
  <si>
    <t>Royalty Fee End Dates</t>
  </si>
  <si>
    <t>Marketing/Royalty Fee Start</t>
  </si>
  <si>
    <t>Redfield Promenade</t>
  </si>
  <si>
    <t>Sum of Royalty Fee</t>
  </si>
  <si>
    <t>Evansville</t>
  </si>
  <si>
    <t>Hikes Point #1</t>
  </si>
  <si>
    <t>Evansville #11</t>
  </si>
  <si>
    <t>Oakley #2</t>
  </si>
  <si>
    <t>West Chester #3</t>
  </si>
  <si>
    <t>Englewood #5</t>
  </si>
  <si>
    <t>Hamburg #6</t>
  </si>
  <si>
    <t>Tates Creek #7</t>
  </si>
  <si>
    <t>Owensboro #8</t>
  </si>
  <si>
    <t/>
  </si>
  <si>
    <t>PERIOD 11 2016</t>
  </si>
  <si>
    <t>PERIOD 11 2017</t>
  </si>
  <si>
    <t>PERIOD 11 2018</t>
  </si>
  <si>
    <t>PERIOD 11 2019</t>
  </si>
  <si>
    <t>PERIOD 11 2026</t>
  </si>
  <si>
    <t>PERIOD 6 2017</t>
  </si>
  <si>
    <t>PERIOD 6 2018</t>
  </si>
  <si>
    <t>PERIOD 6 2019</t>
  </si>
  <si>
    <t>PERIOD 6 2020</t>
  </si>
  <si>
    <t>PERIOD 6 2027</t>
  </si>
  <si>
    <t>PERIOD 5 2017</t>
  </si>
  <si>
    <t>PERIOD 5 2027</t>
  </si>
  <si>
    <t>PERIOD 13 2015</t>
  </si>
  <si>
    <t>PERIOD 13 2016</t>
  </si>
  <si>
    <t>PERIOD 13 2017</t>
  </si>
  <si>
    <t>PERIOD 13 2018</t>
  </si>
  <si>
    <t>PERIOD 13 2025</t>
  </si>
  <si>
    <t>PERIOD 1 2017</t>
  </si>
  <si>
    <t>PERIOD 1 2018</t>
  </si>
  <si>
    <t>PERIOD 1 2019</t>
  </si>
  <si>
    <t>PERIOD 1 2020</t>
  </si>
  <si>
    <t>PERIOD 1 2027</t>
  </si>
  <si>
    <t>PERIOD 1 2016</t>
  </si>
  <si>
    <t>PERIOD 1 2026</t>
  </si>
  <si>
    <t>PERIOD 8 2016</t>
  </si>
  <si>
    <t>PERIOD 8 2026</t>
  </si>
  <si>
    <t>PERIOD 8 2017</t>
  </si>
  <si>
    <t>PERIOD 8 2027</t>
  </si>
  <si>
    <t>PERIOD 13 2026</t>
  </si>
  <si>
    <t>PERIOD 10 2016</t>
  </si>
  <si>
    <t>PERIOD 10 2026</t>
  </si>
  <si>
    <t>PERIOD 7 2017</t>
  </si>
  <si>
    <t>PERIOD 7 2027</t>
  </si>
  <si>
    <t>PERIOD 2 2017</t>
  </si>
  <si>
    <t>PERIOD 2 2027</t>
  </si>
  <si>
    <t>PERIOD 11 2015</t>
  </si>
  <si>
    <t>PERIOD 11 2025</t>
  </si>
  <si>
    <t>PERIOD 12 2015</t>
  </si>
  <si>
    <t>PERIOD 12 2016</t>
  </si>
  <si>
    <t>PERIOD 12 2017</t>
  </si>
  <si>
    <t>PERIOD 12 2018</t>
  </si>
  <si>
    <t>PERIOD 12 2025</t>
  </si>
  <si>
    <t>PERIOD 2 2016</t>
  </si>
  <si>
    <t>PERIOD 2 2018</t>
  </si>
  <si>
    <t>PERIOD 2 2019</t>
  </si>
  <si>
    <t>PERIOD 2 2026</t>
  </si>
  <si>
    <t>PERIOD 3 2016</t>
  </si>
  <si>
    <t>PERIOD 3 2017</t>
  </si>
  <si>
    <t>PERIOD 3 2018</t>
  </si>
  <si>
    <t>PERIOD 3 2019</t>
  </si>
  <si>
    <t>PERIOD 3 2026</t>
  </si>
  <si>
    <t>PERIOD 7 2015</t>
  </si>
  <si>
    <t>PERIOD 7 2016</t>
  </si>
  <si>
    <t>PERIOD 7 2018</t>
  </si>
  <si>
    <t>PERIOD 7 2025</t>
  </si>
  <si>
    <t>PERIOD 7 2019</t>
  </si>
  <si>
    <t>PERIOD 7 2020</t>
  </si>
  <si>
    <t>PERIOD 10 2017</t>
  </si>
  <si>
    <t>PERIOD 10 2018</t>
  </si>
  <si>
    <t>PERIOD 10 2019</t>
  </si>
  <si>
    <t>PERIOD 9 2015</t>
  </si>
  <si>
    <t>PERIOD 9 2016</t>
  </si>
  <si>
    <t>PERIOD 9 2017</t>
  </si>
  <si>
    <t>PERIOD 9 2018</t>
  </si>
  <si>
    <t>PERIOD 9 2025</t>
  </si>
  <si>
    <t>PERIOD 4 2017</t>
  </si>
  <si>
    <t>PERIOD 4 2027</t>
  </si>
  <si>
    <t>PERIOD 4 2018</t>
  </si>
  <si>
    <t>PERIOD 4 2019</t>
  </si>
  <si>
    <t>PERIOD 4 2020</t>
  </si>
  <si>
    <t>PERIOD 4 2016</t>
  </si>
  <si>
    <t>PERIOD 4 2026</t>
  </si>
  <si>
    <t>PERIOD 10 2014</t>
  </si>
  <si>
    <t>PERIOD 10 2015</t>
  </si>
  <si>
    <t>PERIOD 10 2024</t>
  </si>
  <si>
    <t>PERIOD 5 2018</t>
  </si>
  <si>
    <t>PERIOD 5 2025</t>
  </si>
  <si>
    <t>PERIOD 9 2019</t>
  </si>
  <si>
    <t>PERIOD 9 2020</t>
  </si>
  <si>
    <t>PERIOD 9 2027</t>
  </si>
  <si>
    <t>PERIOD 6 2015</t>
  </si>
  <si>
    <t>PERIOD 6 2016</t>
  </si>
  <si>
    <t>PERIOD 6 2025</t>
  </si>
  <si>
    <t>PERIOD 3 2020</t>
  </si>
  <si>
    <t>PERIOD 3 2027</t>
  </si>
  <si>
    <t>PERIOD 13 2019</t>
  </si>
  <si>
    <t>PERIOD 5 2019</t>
  </si>
  <si>
    <t>PERIOD 5 2020</t>
  </si>
  <si>
    <t>PERIOD 9 2026</t>
  </si>
  <si>
    <t>PERIOD 7 2026</t>
  </si>
  <si>
    <t>Rate Increase?</t>
  </si>
  <si>
    <t>Westminster Promenade</t>
  </si>
  <si>
    <t>Debit Memo Location</t>
  </si>
  <si>
    <t>Paceline Partners, LLC (KS/MO)</t>
  </si>
  <si>
    <t>Paceline Partners, LLC (OH)</t>
  </si>
  <si>
    <t>REDDING</t>
  </si>
  <si>
    <t>ROCKLIN</t>
  </si>
  <si>
    <t>Berewick</t>
  </si>
  <si>
    <t>S Academy Highlands</t>
  </si>
  <si>
    <t>South Academy Highlands</t>
  </si>
  <si>
    <t>Dublin Commons</t>
  </si>
  <si>
    <t>Stores</t>
  </si>
  <si>
    <t>Stores on Tracker</t>
  </si>
  <si>
    <t>Difference</t>
  </si>
  <si>
    <t>CONTINUINGFEE - Item Description</t>
  </si>
  <si>
    <t>CONTINUINGFEE - Net Value</t>
  </si>
  <si>
    <t>MARKETINGFEE - Net Value</t>
  </si>
  <si>
    <t>MARKETINGFEE - Item Description</t>
  </si>
  <si>
    <t>Olathe</t>
  </si>
  <si>
    <t>Cornerstone</t>
  </si>
  <si>
    <t>Pickerington</t>
  </si>
  <si>
    <t>Cornerstone #4</t>
  </si>
  <si>
    <t>PERIOD 10 2027</t>
  </si>
  <si>
    <t>Highlands Ranch</t>
  </si>
  <si>
    <t>Decatur</t>
  </si>
  <si>
    <t>Antioch Crossing</t>
  </si>
  <si>
    <t>PERIOD 11 2027</t>
  </si>
  <si>
    <t>Diamond Circle</t>
  </si>
  <si>
    <t>Parkland</t>
  </si>
  <si>
    <t>Food for Thought Restaurant Group LLC</t>
  </si>
  <si>
    <t>PERIOD 11 2020</t>
  </si>
  <si>
    <t>Polaris Pointe</t>
  </si>
  <si>
    <t>PERIOD 12 2027</t>
  </si>
  <si>
    <t>Northfield Commons</t>
  </si>
  <si>
    <t>Keystone</t>
  </si>
  <si>
    <t>PERIOD 12 2019</t>
  </si>
  <si>
    <t>PERIOD 12 2020</t>
  </si>
  <si>
    <t>26 &amp; Van Dyke</t>
  </si>
  <si>
    <t>Dawsonville</t>
  </si>
  <si>
    <t>Greeley</t>
  </si>
  <si>
    <t>Cherry Grove</t>
  </si>
  <si>
    <t>Cherry Grove #10</t>
  </si>
  <si>
    <t>Lexington</t>
  </si>
  <si>
    <t>PERIOD 13 2027</t>
  </si>
  <si>
    <t>Bartram Village</t>
  </si>
  <si>
    <t>PERIOD 13 2020</t>
  </si>
  <si>
    <t>Sandy Springs</t>
  </si>
  <si>
    <t>PERIOD 1 2028</t>
  </si>
  <si>
    <t>Coral Springs</t>
  </si>
  <si>
    <t>PERIOD 2 2020</t>
  </si>
  <si>
    <t>PERIOD 2 2021</t>
  </si>
  <si>
    <t>PERIOD 2 2028</t>
  </si>
  <si>
    <t>Indian Trail</t>
  </si>
  <si>
    <t>Augusta Exchange</t>
  </si>
  <si>
    <t>PERIOD 3 2028</t>
  </si>
  <si>
    <t>Account #</t>
  </si>
  <si>
    <t>Routing #</t>
  </si>
  <si>
    <t>083901621</t>
  </si>
  <si>
    <t>053207766</t>
  </si>
  <si>
    <t>072405455</t>
  </si>
  <si>
    <t>Hall Road</t>
  </si>
  <si>
    <t># Stores</t>
  </si>
  <si>
    <t>The Palms</t>
  </si>
  <si>
    <t>West Sacramento</t>
  </si>
  <si>
    <t>PERIOD 5 2028</t>
  </si>
  <si>
    <t>Madison</t>
  </si>
  <si>
    <t>PERIOD 5 2021</t>
  </si>
  <si>
    <t>Troy</t>
  </si>
  <si>
    <t>PERIOD 6 2021</t>
  </si>
  <si>
    <t>PERIOD 6 2028</t>
  </si>
  <si>
    <t>Food Truck</t>
  </si>
  <si>
    <t>Food Truck - Florida</t>
  </si>
  <si>
    <t>Rancho Cordova</t>
  </si>
  <si>
    <t>PERIOD 7 2028</t>
  </si>
  <si>
    <t>Waverly</t>
  </si>
  <si>
    <t>PERIOD 7 2021</t>
  </si>
  <si>
    <t>Values</t>
  </si>
  <si>
    <t>Chamblee</t>
  </si>
  <si>
    <t>PERIOD 8 2018</t>
  </si>
  <si>
    <t>PERIOD 8 2028</t>
  </si>
  <si>
    <t>The Standard</t>
  </si>
  <si>
    <t>PERIOD 9 2028</t>
  </si>
  <si>
    <t>Ralston Creek</t>
  </si>
  <si>
    <t>Comments</t>
  </si>
  <si>
    <t>053101121</t>
  </si>
  <si>
    <t>Mooresville</t>
  </si>
  <si>
    <t>PERIOD 10 2020</t>
  </si>
  <si>
    <t>PERIOD 10 2021</t>
  </si>
  <si>
    <t>PERIOD 10 2028</t>
  </si>
  <si>
    <t>Mobile</t>
  </si>
  <si>
    <t>Lutz</t>
  </si>
  <si>
    <t>PERIOD 11 2021</t>
  </si>
  <si>
    <t>PERIOD 11 2028</t>
  </si>
  <si>
    <t>Georgetown</t>
  </si>
  <si>
    <t>Northwestern University</t>
  </si>
  <si>
    <t>Compass Group USA, Inc.</t>
  </si>
  <si>
    <t>Compass/Chartwells</t>
  </si>
  <si>
    <t>Southgate</t>
  </si>
  <si>
    <t>Kalamazoo</t>
  </si>
  <si>
    <t>PERIOD 13 2021</t>
  </si>
  <si>
    <t>PERIOD 13 2028</t>
  </si>
  <si>
    <t>Pines &amp; Hiatus</t>
  </si>
  <si>
    <t>Billed separately</t>
  </si>
  <si>
    <t>Debit Memo Info - tab</t>
  </si>
  <si>
    <t>Manage Debit Memo Requests - SAP</t>
  </si>
  <si>
    <t>Create Debit Memo Request</t>
  </si>
  <si>
    <t>DR / 1750 / 10 / 00</t>
  </si>
  <si>
    <t>Sold to Party = Franchisee</t>
  </si>
  <si>
    <t>Cust. Reference = Date range of billing (ex. 1/14/19-1/20/19)</t>
  </si>
  <si>
    <t>Billing Date = last day of billing (ex. 1/20/19)</t>
  </si>
  <si>
    <t>Billing Block = blank</t>
  </si>
  <si>
    <t>Go to "Sales" tab</t>
  </si>
  <si>
    <t>Order Reason = Sales Call</t>
  </si>
  <si>
    <t>Create line items for "Continuingfee" and "Marketingfee", one for each line for the franchisee</t>
  </si>
  <si>
    <t>Quantity = 1</t>
  </si>
  <si>
    <t>Copy over Item Descriptions into corresponding line items</t>
  </si>
  <si>
    <t>Back up to first Sales Document Item</t>
  </si>
  <si>
    <t>Paste in corresponding item amount</t>
  </si>
  <si>
    <t>Hit back button</t>
  </si>
  <si>
    <t>Verify that Net Value matches Total (column H) on sheet</t>
  </si>
  <si>
    <t>If it doesn't match, adjust in "Rounding" column on Summary tab (should not be more than ~5 cents)</t>
  </si>
  <si>
    <t>Hit save in SAP</t>
  </si>
  <si>
    <t>Vineland Pointe</t>
  </si>
  <si>
    <t>PERIOD 1 2029</t>
  </si>
  <si>
    <t>Crown Point</t>
  </si>
  <si>
    <t>Ballantyne</t>
  </si>
  <si>
    <t>PERIOD 2 2022</t>
  </si>
  <si>
    <t>PERIOD 2 2029</t>
  </si>
  <si>
    <t>Port St. Lucie</t>
  </si>
  <si>
    <t>PERIOD 3 2029</t>
  </si>
  <si>
    <t>Alpine</t>
  </si>
  <si>
    <t>PERIOD 5 2022</t>
  </si>
  <si>
    <t>PERIOD 5 2029</t>
  </si>
  <si>
    <t>Amberly Place</t>
  </si>
  <si>
    <t>PERIOD 6 2022</t>
  </si>
  <si>
    <t>PERIOD 6 2029</t>
  </si>
  <si>
    <t>Closed</t>
  </si>
  <si>
    <t>Column1</t>
  </si>
  <si>
    <t>To Create AR Invoice in SAP:</t>
  </si>
  <si>
    <t>Rates from Tracker</t>
  </si>
  <si>
    <t>Add any new franchise locations &amp; rate info to the bottom of the sheet.</t>
  </si>
  <si>
    <t>See spreadsheet with instructions here:</t>
  </si>
  <si>
    <t>Putting together Franchise Royalty Calculator:</t>
  </si>
  <si>
    <t>Verifying Franchise Sales from BI:</t>
  </si>
  <si>
    <t>The calculations in G-M should auto-populate. If they do not, make sure the "Rates from Tracker" tab is updated with the stores that are erroring out.</t>
  </si>
  <si>
    <t>Column P will also show a store count for each day - make sure this ties to your open store count from the "Rates from Tracker"</t>
  </si>
  <si>
    <t>Summary</t>
  </si>
  <si>
    <t>Debit Memo Info</t>
  </si>
  <si>
    <t>See below "To Create AR Invoice in SAP" instructions</t>
  </si>
  <si>
    <t>Update cell B3 with the end date of the franchise week you are working on</t>
  </si>
  <si>
    <t>c</t>
  </si>
  <si>
    <t>Ogden Marketplace</t>
  </si>
  <si>
    <t>PERIOD 9 2021</t>
  </si>
  <si>
    <t>PERIOD 9 2022</t>
  </si>
  <si>
    <t>PERIOD 9 2029</t>
  </si>
  <si>
    <t>Click checkbox to left of the first line item</t>
  </si>
  <si>
    <t>Click "item conditions" (dollar bill icon above the line items, next to the icon that looks like test tubes)</t>
  </si>
  <si>
    <t>If you need to view an invoice again after it has already been posted, go to "Manage Billing Documents" tile. This will show all billing documents that have been created so you can cancel/post/etc.</t>
  </si>
  <si>
    <t>Go to "Create Billing Documents" tile to create &amp; post the invoices you created. After posting each invoice, the "Output Items" section will allow you to download a PDF copy (click the PDF icon under the "Display" column)</t>
  </si>
  <si>
    <t>Closed 9/13</t>
  </si>
  <si>
    <t>Filter on Franchisee (in Debit Memo Info Tab in order of summary franchisee)</t>
  </si>
  <si>
    <t>**Billing Block should be BLANK</t>
  </si>
  <si>
    <t>!! - Make sure you remove any remaining data from the previous week's listing (Scroll to bottom and check on dates vs billing week)</t>
  </si>
  <si>
    <t xml:space="preserve">Check Figures </t>
  </si>
  <si>
    <t>!! - Confirm Check figure in Column F agrees to Franchise Sales file for net sales</t>
  </si>
  <si>
    <t>End Period - 6%</t>
  </si>
  <si>
    <t>6%</t>
  </si>
  <si>
    <t>LIVONIA</t>
  </si>
  <si>
    <t>Converted to CO 9/30</t>
  </si>
  <si>
    <t>PERIOD 3 2021</t>
  </si>
  <si>
    <t>PERIOD 4 2028</t>
  </si>
  <si>
    <t>Closed 9/29</t>
  </si>
  <si>
    <t>DTW Airport</t>
  </si>
  <si>
    <t>DTW North Partners LLC</t>
  </si>
  <si>
    <t>HBF</t>
  </si>
  <si>
    <t>PERIOD 10 2022</t>
  </si>
  <si>
    <t>PERIOD 10 2029</t>
  </si>
  <si>
    <t>Grand Rapids</t>
  </si>
  <si>
    <t>Update cell O5 with the first date of the franchise week you are working on</t>
  </si>
  <si>
    <t>Update check figures formulas to current franchise sales week file</t>
  </si>
  <si>
    <t>Note: Northwestern University and DTW Airport is billed via a separate method (store does not use Brink as their POS)</t>
  </si>
  <si>
    <t>CONTINUINGFEE</t>
  </si>
  <si>
    <t>MARKETINGFEE</t>
  </si>
  <si>
    <t>Use this below to copy, paste in 'Material'and 'Target Quantiy' while creating invoice</t>
  </si>
  <si>
    <t>CnTy = ppr0 at the bottom after 'Profit Margin'</t>
  </si>
  <si>
    <t>**** If you need to delete an invoice before you post it, here are the instuctions:</t>
  </si>
  <si>
    <t>Go to 'Manage Debit Memo Requests'</t>
  </si>
  <si>
    <t>Click 'Go'</t>
  </si>
  <si>
    <t>Click on the Debit memo request number you'd like to delete - Make sure the Overall Status is 'Open'</t>
  </si>
  <si>
    <t>Select 'Change Debit Memo Request'</t>
  </si>
  <si>
    <t>Go to 'More' in the drop down menu on top.</t>
  </si>
  <si>
    <t>Select ' Sales Document' and click on 'Delete' under that.</t>
  </si>
  <si>
    <t>Check figure for # of lines</t>
  </si>
  <si>
    <t>PERIOD 12 2029</t>
  </si>
  <si>
    <t>If there any new locations, add a row to the bottom of the sheet</t>
  </si>
  <si>
    <t>ppr0</t>
  </si>
  <si>
    <t>Johnstown</t>
  </si>
  <si>
    <t>Belmont Market</t>
  </si>
  <si>
    <t>V.I. Pizza</t>
  </si>
  <si>
    <t>Hayden</t>
  </si>
  <si>
    <t>Strawberry Hill</t>
  </si>
  <si>
    <t>USD</t>
  </si>
  <si>
    <t>Currency</t>
  </si>
  <si>
    <t>CAD</t>
  </si>
  <si>
    <t>000308000</t>
  </si>
  <si>
    <t>Vendor Name</t>
  </si>
  <si>
    <t>Bartram Village - OG</t>
  </si>
  <si>
    <t>Column2</t>
  </si>
  <si>
    <t>PERIOD 3 2030</t>
  </si>
  <si>
    <t>PERIOD 13 2022</t>
  </si>
  <si>
    <t>PERIOD 13 2029</t>
  </si>
  <si>
    <t>PERIOD 1 2030</t>
  </si>
  <si>
    <t>PERIOD 1 2021</t>
  </si>
  <si>
    <t>PERIOD 1 2022</t>
  </si>
  <si>
    <t>PERIOD 3 2023</t>
  </si>
  <si>
    <t>Sandy Plains</t>
  </si>
  <si>
    <t>Actual Cash in to MOD Franchising</t>
  </si>
  <si>
    <t>Cash Tie Out (Cash Clearing)</t>
  </si>
  <si>
    <t>*Note: DTW &amp; Northwestern University billed separately</t>
  </si>
  <si>
    <t xml:space="preserve">V. I Pizza </t>
  </si>
  <si>
    <t>GST</t>
  </si>
  <si>
    <t>Billing</t>
  </si>
  <si>
    <t>Invoice Total (CAD)</t>
  </si>
  <si>
    <t>Eureka</t>
  </si>
  <si>
    <t>Tower</t>
  </si>
  <si>
    <t>!! - Make sure if you add/remove franchisee's you check that the WF Template has the correct account informatio/amount pulling correctly</t>
  </si>
  <si>
    <t>check that this is refrencing the right cell</t>
  </si>
  <si>
    <t>Cool Dough Developme</t>
  </si>
  <si>
    <t>SFP DEVELOPMENT COMP</t>
  </si>
  <si>
    <t>Paceline Partners KS</t>
  </si>
  <si>
    <t>Paceline Partners OH</t>
  </si>
  <si>
    <t>Sheridan Parkway</t>
  </si>
  <si>
    <t>Row Labels</t>
  </si>
  <si>
    <t>Rank/Open Store</t>
  </si>
  <si>
    <t>041215032</t>
  </si>
  <si>
    <t>01121448744</t>
  </si>
  <si>
    <t>Tableau/Brink Data</t>
  </si>
  <si>
    <t>Lowry</t>
  </si>
  <si>
    <t>Cumming</t>
  </si>
  <si>
    <t>Z:\Shared\Accounting\Franchise Accounting\Weekly Billing\Franchise Sales\2021</t>
  </si>
  <si>
    <t>In B-F, copypasta data from the Franchise Sales from Tableau</t>
  </si>
  <si>
    <t>!! - Make sure you verified the data first! (see "Verifying Franchise Sales from Tableau" above)</t>
  </si>
  <si>
    <t>Refresh Pivot</t>
  </si>
  <si>
    <t>Update V.I.'s tax amount</t>
  </si>
  <si>
    <t>Campus Oaks</t>
  </si>
  <si>
    <t>PERIOD 9 2023</t>
  </si>
  <si>
    <t>PERIOD 9 2024</t>
  </si>
  <si>
    <t>PERIOD 9 2031</t>
  </si>
  <si>
    <t>Buford</t>
  </si>
  <si>
    <t>Royal Oak</t>
  </si>
  <si>
    <t>PERIOD 11 2022</t>
  </si>
  <si>
    <t>PERIOD 11 2023</t>
  </si>
  <si>
    <t>PERIOD 11 2024</t>
  </si>
  <si>
    <t>PERIOD 11 2031</t>
  </si>
  <si>
    <t>Terre Haute</t>
  </si>
  <si>
    <t>PERIOD 13 2031</t>
  </si>
  <si>
    <t>PERIOD 13 2023</t>
  </si>
  <si>
    <t>PERIOD 13 2024</t>
  </si>
  <si>
    <t>PERIOD 7 2031</t>
  </si>
  <si>
    <t>PERIOD 4 2030</t>
  </si>
  <si>
    <t>Lee's Summit</t>
  </si>
  <si>
    <t>PERIOD 4 2022</t>
  </si>
  <si>
    <t>PERIOD 4 2032</t>
  </si>
  <si>
    <t>Marketing &amp; Royalty Fee End</t>
  </si>
  <si>
    <t>Grand Junction</t>
  </si>
  <si>
    <t>Lancaster</t>
  </si>
  <si>
    <t>PERIOD 9 2032</t>
  </si>
  <si>
    <t>Discrepancy should be tates creek fees as we abated them as of 10/31/22</t>
  </si>
  <si>
    <t>Lenexa</t>
  </si>
  <si>
    <t>Country Club Centre</t>
  </si>
  <si>
    <t>Belmont Market Place</t>
  </si>
  <si>
    <t>V.I. Pizza Belmont</t>
  </si>
  <si>
    <t>V.I. Pizza Country Club</t>
  </si>
  <si>
    <t>Actual Cash in to MOD Int Franchising Belmont Market Place</t>
  </si>
  <si>
    <t>Actual Cash in to MOD Int Franchising Countyr Clube Centre</t>
  </si>
  <si>
    <t>Redding</t>
  </si>
  <si>
    <t>Rocklin</t>
  </si>
  <si>
    <t>Livonia</t>
  </si>
  <si>
    <t>Creekwalk</t>
  </si>
  <si>
    <t>closed</t>
  </si>
  <si>
    <t>do not enter</t>
  </si>
  <si>
    <t>Churn Creek</t>
  </si>
  <si>
    <t>SFP Redding 2, LLC</t>
  </si>
  <si>
    <t>PERIOD 3 2024</t>
  </si>
  <si>
    <t>PERIOD 3 2025</t>
  </si>
  <si>
    <t>Naval Air Station Norfolk</t>
  </si>
  <si>
    <t>IDAD-5 Inc</t>
  </si>
  <si>
    <t>Ingenito</t>
  </si>
  <si>
    <t>Chawla</t>
  </si>
  <si>
    <t>Exceed Group Auburn Village</t>
  </si>
  <si>
    <t>Exceed Group Chico</t>
  </si>
  <si>
    <t>Exceed Group Howe Bout Arden</t>
  </si>
  <si>
    <t>Exceed Group REDDING</t>
  </si>
  <si>
    <t>Exceed Group Redfield Promenade</t>
  </si>
  <si>
    <t>Exceed Group ROCKLIN</t>
  </si>
  <si>
    <t>Exceed Group Woodland</t>
  </si>
  <si>
    <t>Exceed Group West Sacramento</t>
  </si>
  <si>
    <t>Exceed Group Rancho Cordova</t>
  </si>
  <si>
    <t>Exceed Group Eureka</t>
  </si>
  <si>
    <t>Exceed Group Campus Oaks</t>
  </si>
  <si>
    <t>Exceed Group Churn Creek</t>
  </si>
  <si>
    <t>APizza Delight Inc</t>
  </si>
  <si>
    <t>Patel</t>
  </si>
  <si>
    <t xml:space="preserve">I think the royalty is incorrect for Madison.  My mistake and apologies for not catching sooner … </t>
  </si>
  <si>
    <t xml:space="preserve">Attached is the franchise agreement and amendment.  Royalty is clarified in the amendment: </t>
  </si>
  <si>
    <t xml:space="preserve">a. 1% of the Weekly Revenues generated by the Franchisee’s MOD Pizza Restaurant during the first 13 accounting periods </t>
  </si>
  <si>
    <t xml:space="preserve">b. 2% of the Weekly Revenues generated by the Franchisee’s MOD Pizza Restaurant during the second 13 Accounting Periods </t>
  </si>
  <si>
    <t xml:space="preserve">c. 3% of the Weekly Revenues generated by the Franchisee’s MOD Pizza Restaurant during the third 13 Accounting Periods </t>
  </si>
  <si>
    <t xml:space="preserve">d. 4% of the Weekly Revenues generated by the Franchisee’s MOD Pizza Restaurant during the third 13 Accounting Periods </t>
  </si>
  <si>
    <t>e. 5% of the Weekly Revenues generated by the Franchisee’s MOD Pizza Restaurant during the remainder of the Initial Term of this Franchise Agreement.</t>
  </si>
  <si>
    <t>Neal Patel</t>
  </si>
  <si>
    <t>MAA MELDI 3980 Inc</t>
  </si>
  <si>
    <t>American Fork</t>
  </si>
  <si>
    <t>Ammon</t>
  </si>
  <si>
    <t>Bend</t>
  </si>
  <si>
    <t>Bend North</t>
  </si>
  <si>
    <t>Boise Town Square</t>
  </si>
  <si>
    <t>Downtown Boise</t>
  </si>
  <si>
    <t>Fort Union</t>
  </si>
  <si>
    <t>Grants Pass</t>
  </si>
  <si>
    <t>Layton</t>
  </si>
  <si>
    <t>North Medford</t>
  </si>
  <si>
    <t>Oakway</t>
  </si>
  <si>
    <t>Park City</t>
  </si>
  <si>
    <t>Pocatello</t>
  </si>
  <si>
    <t>Riverdale</t>
  </si>
  <si>
    <t>Riverton</t>
  </si>
  <si>
    <t>Roseburg</t>
  </si>
  <si>
    <t>Saratoga Springs</t>
  </si>
  <si>
    <t>South Eugene</t>
  </si>
  <si>
    <t>South Jordan</t>
  </si>
  <si>
    <t>South Medford</t>
  </si>
  <si>
    <t>Spanish Fork</t>
  </si>
  <si>
    <t>Springfield-Oregon</t>
  </si>
  <si>
    <t>Sugar House</t>
  </si>
  <si>
    <t>Woods Cross</t>
  </si>
  <si>
    <t>Bikram</t>
  </si>
  <si>
    <t>SSR Holdings LLC</t>
  </si>
  <si>
    <t>PST</t>
  </si>
  <si>
    <t>DAZ9</t>
  </si>
  <si>
    <t>Darshana Somaiya</t>
  </si>
  <si>
    <t>PERIOD 21 2026</t>
  </si>
  <si>
    <t>Period 13 2026</t>
  </si>
  <si>
    <t>1753 CAD</t>
  </si>
  <si>
    <t>(All)</t>
  </si>
  <si>
    <t>d</t>
  </si>
  <si>
    <t>ex</t>
  </si>
  <si>
    <t>831.59 CAD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</si>
</sst>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
    <numFmt numFmtId="165" formatCode="m/d/yy"/>
    <numFmt numFmtId="166" formatCode="_(&quot;$&quot;* #,##0_);_(&quot;$&quot;* \(#,##0\);_(&quot;$&quot;* &quot;-&quot;??_);_(@_)"/>
  </numFmts>
  <fonts count="95" x14ac:knownFonts="1">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color rgb="FF000000"/>
      <name val="Calibri"/>
      <family val="2"/>
      <charset val="1"/>
    </font>
    <font>
      <b/>
      <sz val="11"/>
      <color theme="1"/>
      <name val="Calibri"/>
      <family val="2"/>
      <scheme val="minor"/>
    </font>
    <font>
      <u/>
      <sz val="11"/>
      <color theme="10"/>
      <name val="Calibri"/>
      <family val="2"/>
      <scheme val="minor"/>
    </font>
    <font>
      <b/>
      <sz val="11"/>
      <color rgb="FF000000"/>
      <name val="Calibri"/>
      <family val="2"/>
    </font>
    <font>
      <sz val="11"/>
      <color rgb="FF000000"/>
      <name val="Calibri"/>
      <family val="2"/>
      <charset val="1"/>
    </font>
    <font>
      <b/>
      <sz val="11"/>
      <color theme="0"/>
      <name val="Calibri"/>
      <family val="2"/>
      <charset val="1"/>
    </font>
    <font>
      <sz val="9"/>
      <color indexed="81"/>
      <name val="Tahoma"/>
      <family val="2"/>
    </font>
    <font>
      <b/>
      <sz val="9"/>
      <color indexed="81"/>
      <name val="Tahoma"/>
      <family val="2"/>
    </font>
    <font>
      <sz val="11"/>
      <color theme="0"/>
      <name val="Calibri"/>
      <family val="2"/>
      <charset val="1"/>
    </font>
    <font>
      <sz val="10"/>
      <color theme="0"/>
      <name val="Arial"/>
      <family val="2"/>
    </font>
    <font>
      <sz val="11"/>
      <name val="Calibri"/>
      <family val="2"/>
      <charset val="1"/>
    </font>
    <font>
      <b/>
      <sz val="11"/>
      <color rgb="FF000000"/>
      <name val="Calibri"/>
      <family val="2"/>
    </font>
    <font>
      <sz val="11"/>
      <color rgb="FF000000"/>
      <name val="Calibri"/>
      <family val="2"/>
    </font>
    <font>
      <sz val="10"/>
      <name val="Calibri"/>
      <family val="2"/>
    </font>
    <font>
      <b/>
      <sz val="10"/>
      <color indexed="81"/>
      <name val="Calibri"/>
      <family val="2"/>
    </font>
    <font>
      <sz val="11"/>
      <color theme="1"/>
      <name val="Calibri"/>
      <family val="2"/>
      <charset val="1"/>
    </font>
    <font>
      <b/>
      <sz val="9"/>
      <color rgb="FF000000"/>
      <name val="Tahoma"/>
      <family val="2"/>
    </font>
    <font>
      <sz val="9"/>
      <color rgb="FF000000"/>
      <name val="Tahoma"/>
      <family val="2"/>
    </font>
    <font>
      <b/>
      <sz val="11"/>
      <name val="Calibri"/>
      <family val="2"/>
      <charset val="1"/>
    </font>
    <font>
      <b/>
      <u/>
      <sz val="11"/>
      <color rgb="FF000000"/>
      <name val="Calibri"/>
      <family val="2"/>
    </font>
    <font>
      <sz val="11"/>
      <color rgb="FFFF0000"/>
      <name val="Calibri"/>
      <family val="2"/>
      <charset val="1"/>
    </font>
    <font>
      <b/>
      <sz val="11"/>
      <name val="Calibri"/>
      <family val="2"/>
    </font>
    <font>
      <sz val="11"/>
      <name val="Calibri"/>
      <family val="2"/>
    </font>
    <font>
      <sz val="8"/>
      <name val="Calibri"/>
      <family val="2"/>
      <charset val="1"/>
    </font>
    <font>
      <b/>
      <i/>
      <u/>
      <sz val="11"/>
      <color rgb="FF000000"/>
      <name val="Calibri"/>
      <family val="2"/>
    </font>
    <font>
      <sz val="11"/>
      <color rgb="FF000000"/>
      <name val="Aptos"/>
      <family val="2"/>
    </font>
  </fonts>
  <fills count="13">
    <fill>
      <patternFill patternType="none"/>
    </fill>
    <fill>
      <patternFill patternType="gray125"/>
    </fill>
    <fill>
      <patternFill patternType="solid">
        <fgColor rgb="FFDDDDDD"/>
        <bgColor rgb="FFFFCCCC"/>
      </patternFill>
    </fill>
    <fill>
      <patternFill patternType="solid">
        <fgColor theme="7" tint="0.59999389629810485"/>
        <bgColor indexed="64"/>
      </patternFill>
    </fill>
    <fill>
      <patternFill patternType="solid">
        <fgColor theme="5" tint="0.39997558519241921"/>
        <bgColor indexed="64"/>
      </patternFill>
    </fill>
    <fill>
      <patternFill patternType="solid">
        <fgColor theme="4"/>
        <bgColor theme="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CE33"/>
        <bgColor indexed="64"/>
      </patternFill>
    </fill>
    <fill>
      <patternFill patternType="solid">
        <fgColor rgb="FFFF5050"/>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right/>
      <top style="thin">
        <color theme="1"/>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9">
    <xf numFmtId="0" fontId="0" fillId="0" borderId="0"/>
    <xf numFmtId="9" fontId="68" fillId="0" borderId="0" applyBorder="0" applyAlignment="0" applyProtection="0"/>
    <xf numFmtId="0" fontId="69" fillId="2" borderId="0" applyBorder="0" applyProtection="0"/>
    <xf numFmtId="0" fontId="71" fillId="0" borderId="0" applyNumberFormat="0" applyFill="0" applyBorder="0" applyAlignment="0" applyProtection="0"/>
    <xf numFmtId="43" fontId="73" fillId="0" borderId="0" applyFont="0" applyFill="0" applyBorder="0" applyAlignment="0" applyProtection="0"/>
    <xf numFmtId="0" fontId="67" fillId="0" borderId="0"/>
    <xf numFmtId="9" fontId="67" fillId="0" borderId="0" applyFont="0" applyFill="0" applyBorder="0" applyAlignment="0" applyProtection="0"/>
    <xf numFmtId="0" fontId="60" fillId="0" borderId="0"/>
    <xf numFmtId="44" fontId="73" fillId="0" borderId="0" applyFont="0" applyFill="0" applyBorder="0" applyAlignment="0" applyProtection="0"/>
  </cellStyleXfs>
  <cellXfs count="272">
    <xf numFmtId="0" fontId="0" fillId="0" borderId="0" xfId="0"/>
    <xf numFmtId="0" fontId="70" fillId="0" borderId="0" xfId="0" applyFont="1"/>
    <xf numFmtId="0" fontId="0" fillId="0" borderId="0" xfId="0" applyAlignment="1">
      <alignment horizontal="center"/>
    </xf>
    <xf numFmtId="0" fontId="70" fillId="0" borderId="0" xfId="0" applyFont="1" applyAlignment="1">
      <alignment horizontal="center"/>
    </xf>
    <xf numFmtId="0" fontId="71" fillId="0" borderId="0" xfId="3"/>
    <xf numFmtId="14" fontId="0" fillId="0" borderId="0" xfId="0" applyNumberFormat="1" applyAlignment="1">
      <alignment horizontal="center"/>
    </xf>
    <xf numFmtId="9" fontId="0" fillId="0" borderId="0" xfId="0" applyNumberFormat="1"/>
    <xf numFmtId="14" fontId="0" fillId="0" borderId="0" xfId="0" applyNumberFormat="1"/>
    <xf numFmtId="164" fontId="0" fillId="0" borderId="0" xfId="1" applyNumberFormat="1" applyFont="1" applyAlignment="1">
      <alignment horizontal="center"/>
    </xf>
    <xf numFmtId="10" fontId="0" fillId="0" borderId="0" xfId="1" applyNumberFormat="1" applyFont="1" applyAlignment="1">
      <alignment horizontal="center"/>
    </xf>
    <xf numFmtId="43" fontId="0" fillId="0" borderId="0" xfId="4" applyFont="1"/>
    <xf numFmtId="43" fontId="0" fillId="0" borderId="0" xfId="0" applyNumberFormat="1"/>
    <xf numFmtId="164" fontId="68" fillId="0" borderId="0" xfId="1" applyNumberFormat="1"/>
    <xf numFmtId="164" fontId="77" fillId="0" borderId="0" xfId="1" applyNumberFormat="1" applyFont="1"/>
    <xf numFmtId="9" fontId="77" fillId="0" borderId="0" xfId="1" applyFont="1"/>
    <xf numFmtId="164" fontId="78" fillId="0" borderId="0" xfId="1" applyNumberFormat="1" applyFont="1"/>
    <xf numFmtId="0" fontId="0" fillId="4" borderId="0" xfId="0" applyFill="1"/>
    <xf numFmtId="43" fontId="0" fillId="4" borderId="0" xfId="4" applyFont="1" applyFill="1"/>
    <xf numFmtId="43" fontId="79" fillId="4" borderId="0" xfId="4" applyFont="1" applyFill="1"/>
    <xf numFmtId="0" fontId="0" fillId="6" borderId="0" xfId="0" applyFill="1"/>
    <xf numFmtId="43" fontId="0" fillId="6" borderId="0" xfId="4" applyFont="1" applyFill="1"/>
    <xf numFmtId="0" fontId="72" fillId="6" borderId="0" xfId="0" applyFont="1" applyFill="1" applyAlignment="1">
      <alignment horizontal="center"/>
    </xf>
    <xf numFmtId="0" fontId="80" fillId="0" borderId="0" xfId="0" applyFont="1"/>
    <xf numFmtId="0" fontId="81" fillId="0" borderId="0" xfId="0" applyFont="1"/>
    <xf numFmtId="14" fontId="81" fillId="3" borderId="0" xfId="0" applyNumberFormat="1" applyFont="1" applyFill="1"/>
    <xf numFmtId="0" fontId="81" fillId="0" borderId="0" xfId="0" pivotButton="1" applyFont="1"/>
    <xf numFmtId="0" fontId="80" fillId="0" borderId="0" xfId="0" applyFont="1" applyAlignment="1">
      <alignment horizontal="center"/>
    </xf>
    <xf numFmtId="0" fontId="66" fillId="0" borderId="0" xfId="0" applyFont="1"/>
    <xf numFmtId="14" fontId="66" fillId="0" borderId="0" xfId="0" applyNumberFormat="1" applyFont="1"/>
    <xf numFmtId="0" fontId="65" fillId="0" borderId="0" xfId="0" applyFont="1"/>
    <xf numFmtId="0" fontId="64" fillId="0" borderId="0" xfId="0" applyFont="1"/>
    <xf numFmtId="14" fontId="64" fillId="0" borderId="0" xfId="0" applyNumberFormat="1" applyFont="1"/>
    <xf numFmtId="0" fontId="63" fillId="0" borderId="0" xfId="0" applyFont="1"/>
    <xf numFmtId="14" fontId="63" fillId="0" borderId="0" xfId="0" applyNumberFormat="1" applyFont="1"/>
    <xf numFmtId="0" fontId="84" fillId="0" borderId="0" xfId="0" applyFont="1"/>
    <xf numFmtId="0" fontId="62" fillId="0" borderId="0" xfId="0" applyFont="1"/>
    <xf numFmtId="14" fontId="84" fillId="0" borderId="0" xfId="0" applyNumberFormat="1" applyFont="1"/>
    <xf numFmtId="0" fontId="61" fillId="0" borderId="0" xfId="0" applyFont="1"/>
    <xf numFmtId="14" fontId="61" fillId="0" borderId="0" xfId="0" applyNumberFormat="1" applyFont="1"/>
    <xf numFmtId="0" fontId="60" fillId="0" borderId="0" xfId="7"/>
    <xf numFmtId="43" fontId="60" fillId="0" borderId="0" xfId="7" applyNumberFormat="1"/>
    <xf numFmtId="1" fontId="60" fillId="0" borderId="0" xfId="7" applyNumberFormat="1"/>
    <xf numFmtId="1" fontId="81" fillId="0" borderId="0" xfId="0" applyNumberFormat="1" applyFont="1" applyAlignment="1">
      <alignment horizontal="right"/>
    </xf>
    <xf numFmtId="1" fontId="60" fillId="0" borderId="0" xfId="7" applyNumberFormat="1" applyAlignment="1">
      <alignment horizontal="right"/>
    </xf>
    <xf numFmtId="0" fontId="59" fillId="0" borderId="0" xfId="0" applyFont="1"/>
    <xf numFmtId="14" fontId="59" fillId="0" borderId="0" xfId="0" applyNumberFormat="1" applyFont="1"/>
    <xf numFmtId="14" fontId="0" fillId="7" borderId="0" xfId="0" applyNumberFormat="1" applyFill="1"/>
    <xf numFmtId="0" fontId="72" fillId="0" borderId="0" xfId="0" applyFont="1"/>
    <xf numFmtId="0" fontId="58" fillId="0" borderId="0" xfId="0" applyFont="1"/>
    <xf numFmtId="0" fontId="57" fillId="0" borderId="0" xfId="0" applyFont="1"/>
    <xf numFmtId="165" fontId="57" fillId="0" borderId="0" xfId="0" applyNumberFormat="1" applyFont="1"/>
    <xf numFmtId="0" fontId="56" fillId="0" borderId="0" xfId="0" applyFont="1"/>
    <xf numFmtId="165" fontId="56" fillId="0" borderId="0" xfId="0" applyNumberFormat="1" applyFont="1"/>
    <xf numFmtId="0" fontId="84" fillId="0" borderId="9" xfId="0" applyFont="1" applyBorder="1"/>
    <xf numFmtId="43" fontId="84" fillId="0" borderId="9" xfId="4" applyFont="1" applyBorder="1"/>
    <xf numFmtId="14" fontId="84" fillId="0" borderId="9" xfId="0" applyNumberFormat="1" applyFont="1" applyBorder="1"/>
    <xf numFmtId="43" fontId="87" fillId="0" borderId="7" xfId="4" applyFont="1" applyBorder="1"/>
    <xf numFmtId="14" fontId="84" fillId="0" borderId="8" xfId="0" applyNumberFormat="1" applyFont="1" applyBorder="1"/>
    <xf numFmtId="0" fontId="84" fillId="0" borderId="8" xfId="0" applyFont="1" applyBorder="1"/>
    <xf numFmtId="43" fontId="84" fillId="0" borderId="8" xfId="4" applyFont="1" applyBorder="1"/>
    <xf numFmtId="43" fontId="84" fillId="0" borderId="8" xfId="0" applyNumberFormat="1" applyFont="1" applyBorder="1"/>
    <xf numFmtId="0" fontId="54" fillId="0" borderId="0" xfId="0" applyFont="1"/>
    <xf numFmtId="165" fontId="54" fillId="0" borderId="0" xfId="0" applyNumberFormat="1" applyFont="1"/>
    <xf numFmtId="0" fontId="53" fillId="0" borderId="0" xfId="0" applyFont="1"/>
    <xf numFmtId="0" fontId="52" fillId="0" borderId="0" xfId="0" applyFont="1"/>
    <xf numFmtId="0" fontId="50" fillId="0" borderId="0" xfId="0" applyFont="1"/>
    <xf numFmtId="165" fontId="50" fillId="0" borderId="0" xfId="0" applyNumberFormat="1" applyFont="1"/>
    <xf numFmtId="0" fontId="49" fillId="0" borderId="0" xfId="0" applyFont="1"/>
    <xf numFmtId="165" fontId="49" fillId="0" borderId="0" xfId="0" applyNumberFormat="1" applyFont="1"/>
    <xf numFmtId="0" fontId="48" fillId="0" borderId="0" xfId="0" applyFont="1"/>
    <xf numFmtId="165" fontId="48" fillId="0" borderId="0" xfId="0" applyNumberFormat="1" applyFont="1"/>
    <xf numFmtId="0" fontId="47" fillId="0" borderId="0" xfId="0" applyFont="1"/>
    <xf numFmtId="0" fontId="47" fillId="6" borderId="0" xfId="0" applyFont="1" applyFill="1"/>
    <xf numFmtId="0" fontId="0" fillId="8" borderId="0" xfId="0" applyFill="1"/>
    <xf numFmtId="0" fontId="66" fillId="8" borderId="0" xfId="0" applyFont="1" applyFill="1"/>
    <xf numFmtId="14" fontId="66" fillId="8" borderId="0" xfId="0" applyNumberFormat="1" applyFont="1" applyFill="1"/>
    <xf numFmtId="0" fontId="45" fillId="0" borderId="0" xfId="0" applyFont="1"/>
    <xf numFmtId="0" fontId="44" fillId="0" borderId="0" xfId="0" applyFont="1"/>
    <xf numFmtId="165" fontId="44" fillId="0" borderId="0" xfId="0" applyNumberFormat="1" applyFont="1"/>
    <xf numFmtId="0" fontId="43" fillId="0" borderId="0" xfId="0" applyFont="1"/>
    <xf numFmtId="165" fontId="43" fillId="0" borderId="0" xfId="0" applyNumberFormat="1" applyFont="1"/>
    <xf numFmtId="165" fontId="42" fillId="0" borderId="0" xfId="0" applyNumberFormat="1" applyFont="1"/>
    <xf numFmtId="0" fontId="42" fillId="0" borderId="0" xfId="0" applyFont="1"/>
    <xf numFmtId="43" fontId="82" fillId="0" borderId="0" xfId="0" applyNumberFormat="1" applyFont="1" applyAlignment="1">
      <alignment horizontal="right"/>
    </xf>
    <xf numFmtId="0" fontId="41" fillId="0" borderId="0" xfId="0" applyFont="1"/>
    <xf numFmtId="165" fontId="41" fillId="0" borderId="0" xfId="0" applyNumberFormat="1" applyFont="1"/>
    <xf numFmtId="0" fontId="40" fillId="0" borderId="0" xfId="0" applyFont="1"/>
    <xf numFmtId="165" fontId="40" fillId="0" borderId="0" xfId="0" applyNumberFormat="1" applyFont="1"/>
    <xf numFmtId="14" fontId="0" fillId="8" borderId="0" xfId="0" applyNumberFormat="1" applyFill="1"/>
    <xf numFmtId="0" fontId="55" fillId="8" borderId="0" xfId="0" applyFont="1" applyFill="1"/>
    <xf numFmtId="165" fontId="55" fillId="8" borderId="0" xfId="0" applyNumberFormat="1" applyFont="1" applyFill="1"/>
    <xf numFmtId="0" fontId="0" fillId="7" borderId="0" xfId="0" applyFill="1"/>
    <xf numFmtId="0" fontId="84" fillId="7" borderId="0" xfId="0" applyFont="1" applyFill="1"/>
    <xf numFmtId="0" fontId="46" fillId="7" borderId="0" xfId="0" applyFont="1" applyFill="1"/>
    <xf numFmtId="165" fontId="46" fillId="7" borderId="0" xfId="0" applyNumberFormat="1" applyFont="1" applyFill="1"/>
    <xf numFmtId="0" fontId="88" fillId="0" borderId="0" xfId="0" applyFont="1"/>
    <xf numFmtId="0" fontId="89" fillId="0" borderId="0" xfId="0" applyFont="1"/>
    <xf numFmtId="0" fontId="39" fillId="0" borderId="0" xfId="7" applyFont="1"/>
    <xf numFmtId="0" fontId="38" fillId="0" borderId="0" xfId="0" applyFont="1"/>
    <xf numFmtId="165" fontId="38" fillId="0" borderId="0" xfId="0" applyNumberFormat="1" applyFont="1"/>
    <xf numFmtId="166" fontId="0" fillId="0" borderId="0" xfId="8" applyNumberFormat="1" applyFont="1"/>
    <xf numFmtId="0" fontId="70" fillId="3" borderId="0" xfId="0" applyFont="1" applyFill="1" applyAlignment="1">
      <alignment horizontal="center"/>
    </xf>
    <xf numFmtId="9" fontId="37" fillId="0" borderId="0" xfId="1" applyFont="1"/>
    <xf numFmtId="0" fontId="37" fillId="0" borderId="0" xfId="0" applyFont="1"/>
    <xf numFmtId="14" fontId="37" fillId="0" borderId="0" xfId="0" applyNumberFormat="1" applyFont="1"/>
    <xf numFmtId="165" fontId="37" fillId="0" borderId="0" xfId="0" applyNumberFormat="1" applyFont="1"/>
    <xf numFmtId="0" fontId="84" fillId="8" borderId="0" xfId="0" applyFont="1" applyFill="1"/>
    <xf numFmtId="0" fontId="51" fillId="8" borderId="0" xfId="0" applyFont="1" applyFill="1"/>
    <xf numFmtId="14" fontId="84" fillId="8" borderId="0" xfId="0" applyNumberFormat="1" applyFont="1" applyFill="1"/>
    <xf numFmtId="0" fontId="66" fillId="6" borderId="0" xfId="0" applyFont="1" applyFill="1"/>
    <xf numFmtId="14" fontId="66" fillId="6" borderId="0" xfId="0" applyNumberFormat="1" applyFont="1" applyFill="1"/>
    <xf numFmtId="14" fontId="84" fillId="6" borderId="0" xfId="0" applyNumberFormat="1" applyFont="1" applyFill="1"/>
    <xf numFmtId="14" fontId="0" fillId="6" borderId="0" xfId="0" applyNumberFormat="1" applyFill="1"/>
    <xf numFmtId="0" fontId="61" fillId="6" borderId="0" xfId="0" applyFont="1" applyFill="1"/>
    <xf numFmtId="14" fontId="61" fillId="6" borderId="0" xfId="0" applyNumberFormat="1" applyFont="1" applyFill="1"/>
    <xf numFmtId="0" fontId="84" fillId="6" borderId="0" xfId="0" applyFont="1" applyFill="1"/>
    <xf numFmtId="0" fontId="59" fillId="6" borderId="0" xfId="0" applyFont="1" applyFill="1"/>
    <xf numFmtId="0" fontId="48" fillId="6" borderId="0" xfId="0" applyFont="1" applyFill="1"/>
    <xf numFmtId="165" fontId="48" fillId="6" borderId="0" xfId="0" applyNumberFormat="1" applyFont="1" applyFill="1"/>
    <xf numFmtId="0" fontId="45" fillId="6" borderId="0" xfId="0" applyFont="1" applyFill="1"/>
    <xf numFmtId="165" fontId="42" fillId="6" borderId="0" xfId="0" applyNumberFormat="1" applyFont="1" applyFill="1"/>
    <xf numFmtId="0" fontId="44" fillId="6" borderId="0" xfId="0" applyFont="1" applyFill="1"/>
    <xf numFmtId="165" fontId="44" fillId="6" borderId="0" xfId="0" applyNumberFormat="1" applyFont="1" applyFill="1"/>
    <xf numFmtId="0" fontId="42" fillId="6" borderId="0" xfId="0" applyFont="1" applyFill="1"/>
    <xf numFmtId="0" fontId="36" fillId="0" borderId="0" xfId="0" applyFont="1"/>
    <xf numFmtId="165" fontId="36" fillId="0" borderId="0" xfId="0" applyNumberFormat="1" applyFont="1"/>
    <xf numFmtId="14" fontId="36" fillId="0" borderId="0" xfId="0" applyNumberFormat="1" applyFont="1"/>
    <xf numFmtId="14" fontId="79" fillId="4" borderId="0" xfId="4" applyNumberFormat="1" applyFont="1" applyFill="1"/>
    <xf numFmtId="0" fontId="0" fillId="0" borderId="0" xfId="0" applyAlignment="1">
      <alignment horizontal="right"/>
    </xf>
    <xf numFmtId="0" fontId="35" fillId="0" borderId="0" xfId="0" applyFont="1"/>
    <xf numFmtId="165" fontId="35" fillId="0" borderId="0" xfId="0" applyNumberFormat="1" applyFont="1"/>
    <xf numFmtId="0" fontId="34" fillId="0" borderId="0" xfId="0" applyFont="1"/>
    <xf numFmtId="165" fontId="34" fillId="0" borderId="0" xfId="0" applyNumberFormat="1" applyFont="1"/>
    <xf numFmtId="1" fontId="72" fillId="0" borderId="0" xfId="0" applyNumberFormat="1" applyFont="1" applyAlignment="1">
      <alignment horizontal="left"/>
    </xf>
    <xf numFmtId="0" fontId="90" fillId="0" borderId="10" xfId="0" applyFont="1" applyBorder="1" applyAlignment="1">
      <alignment horizontal="center"/>
    </xf>
    <xf numFmtId="0" fontId="72" fillId="0" borderId="11" xfId="0" applyFont="1" applyBorder="1" applyAlignment="1">
      <alignment horizontal="center"/>
    </xf>
    <xf numFmtId="0" fontId="72" fillId="0" borderId="12" xfId="0" applyFont="1" applyBorder="1" applyAlignment="1">
      <alignment horizontal="center"/>
    </xf>
    <xf numFmtId="0" fontId="91" fillId="0" borderId="13" xfId="0" applyFont="1" applyBorder="1"/>
    <xf numFmtId="1" fontId="81" fillId="0" borderId="14" xfId="0" applyNumberFormat="1" applyFont="1" applyBorder="1" applyAlignment="1">
      <alignment horizontal="right"/>
    </xf>
    <xf numFmtId="1" fontId="81" fillId="0" borderId="15" xfId="0" applyNumberFormat="1" applyFont="1" applyBorder="1" applyAlignment="1">
      <alignment horizontal="left"/>
    </xf>
    <xf numFmtId="1" fontId="81" fillId="0" borderId="14" xfId="0" quotePrefix="1" applyNumberFormat="1" applyFont="1" applyBorder="1" applyAlignment="1">
      <alignment horizontal="right"/>
    </xf>
    <xf numFmtId="0" fontId="81" fillId="0" borderId="0" xfId="0" applyFont="1" applyAlignment="1">
      <alignment horizontal="center"/>
    </xf>
    <xf numFmtId="2" fontId="0" fillId="0" borderId="0" xfId="0" applyNumberFormat="1"/>
    <xf numFmtId="0" fontId="0" fillId="9" borderId="0" xfId="0" applyFill="1"/>
    <xf numFmtId="0" fontId="33" fillId="0" borderId="0" xfId="0" applyFont="1"/>
    <xf numFmtId="9" fontId="33" fillId="0" borderId="0" xfId="1" applyFont="1"/>
    <xf numFmtId="165" fontId="33" fillId="0" borderId="0" xfId="0" applyNumberFormat="1" applyFont="1"/>
    <xf numFmtId="0" fontId="0" fillId="10" borderId="0" xfId="0" applyFill="1"/>
    <xf numFmtId="0" fontId="66" fillId="10" borderId="0" xfId="0" applyFont="1" applyFill="1"/>
    <xf numFmtId="43" fontId="0" fillId="10" borderId="0" xfId="0" applyNumberFormat="1" applyFill="1"/>
    <xf numFmtId="165" fontId="32" fillId="0" borderId="0" xfId="0" applyNumberFormat="1" applyFont="1"/>
    <xf numFmtId="0" fontId="72" fillId="0" borderId="14" xfId="0" applyFont="1" applyBorder="1"/>
    <xf numFmtId="44" fontId="72" fillId="11" borderId="14" xfId="8" applyFont="1" applyFill="1" applyBorder="1"/>
    <xf numFmtId="44" fontId="72" fillId="4" borderId="14" xfId="8" applyFont="1" applyFill="1" applyBorder="1"/>
    <xf numFmtId="0" fontId="93" fillId="0" borderId="0" xfId="0" applyFont="1"/>
    <xf numFmtId="2" fontId="81" fillId="0" borderId="0" xfId="0" applyNumberFormat="1" applyFont="1"/>
    <xf numFmtId="0" fontId="31" fillId="0" borderId="0" xfId="0" applyFont="1"/>
    <xf numFmtId="165" fontId="31" fillId="0" borderId="0" xfId="0" applyNumberFormat="1" applyFont="1"/>
    <xf numFmtId="0" fontId="0" fillId="10" borderId="0" xfId="0" applyFill="1" applyAlignment="1">
      <alignment horizontal="center"/>
    </xf>
    <xf numFmtId="0" fontId="30" fillId="0" borderId="0" xfId="7" applyFont="1"/>
    <xf numFmtId="0" fontId="60" fillId="12" borderId="0" xfId="7" applyFill="1"/>
    <xf numFmtId="0" fontId="29" fillId="0" borderId="0" xfId="7" applyFont="1"/>
    <xf numFmtId="0" fontId="28" fillId="0" borderId="0" xfId="0" applyFont="1"/>
    <xf numFmtId="0" fontId="27" fillId="0" borderId="0" xfId="0" applyFont="1"/>
    <xf numFmtId="14" fontId="27" fillId="0" borderId="0" xfId="0" applyNumberFormat="1" applyFont="1"/>
    <xf numFmtId="165" fontId="27" fillId="0" borderId="0" xfId="0" applyNumberFormat="1" applyFont="1"/>
    <xf numFmtId="0" fontId="0" fillId="0" borderId="0" xfId="0" pivotButton="1"/>
    <xf numFmtId="0" fontId="0" fillId="0" borderId="0" xfId="0" applyAlignment="1">
      <alignment horizontal="left"/>
    </xf>
    <xf numFmtId="44" fontId="0" fillId="0" borderId="0" xfId="8" applyFont="1"/>
    <xf numFmtId="44" fontId="0" fillId="0" borderId="0" xfId="0" applyNumberFormat="1"/>
    <xf numFmtId="43" fontId="60" fillId="10" borderId="0" xfId="7" applyNumberFormat="1" applyFill="1"/>
    <xf numFmtId="43" fontId="81" fillId="0" borderId="0" xfId="4" applyFont="1"/>
    <xf numFmtId="43" fontId="82" fillId="6" borderId="0" xfId="0" applyNumberFormat="1" applyFont="1" applyFill="1" applyAlignment="1">
      <alignment horizontal="right"/>
    </xf>
    <xf numFmtId="43" fontId="82" fillId="4" borderId="0" xfId="0" applyNumberFormat="1" applyFont="1" applyFill="1" applyAlignment="1">
      <alignment horizontal="right"/>
    </xf>
    <xf numFmtId="0" fontId="81" fillId="0" borderId="0" xfId="0" applyFont="1" applyAlignment="1">
      <alignment horizontal="right"/>
    </xf>
    <xf numFmtId="49" fontId="81" fillId="0" borderId="14" xfId="0" quotePrefix="1" applyNumberFormat="1" applyFont="1" applyBorder="1" applyAlignment="1">
      <alignment horizontal="right"/>
    </xf>
    <xf numFmtId="49" fontId="81" fillId="0" borderId="15" xfId="0" applyNumberFormat="1" applyFont="1" applyBorder="1" applyAlignment="1">
      <alignment horizontal="left"/>
    </xf>
    <xf numFmtId="0" fontId="26" fillId="0" borderId="0" xfId="0" applyFont="1"/>
    <xf numFmtId="14" fontId="84" fillId="0" borderId="17" xfId="0" applyNumberFormat="1" applyFont="1" applyBorder="1"/>
    <xf numFmtId="14" fontId="26" fillId="0" borderId="17" xfId="0" applyNumberFormat="1" applyFont="1" applyBorder="1"/>
    <xf numFmtId="0" fontId="26" fillId="0" borderId="17" xfId="0" applyFont="1" applyBorder="1"/>
    <xf numFmtId="165" fontId="26" fillId="0" borderId="0" xfId="0" applyNumberFormat="1" applyFont="1"/>
    <xf numFmtId="0" fontId="25" fillId="0" borderId="0" xfId="0" applyFont="1"/>
    <xf numFmtId="0" fontId="24" fillId="0" borderId="0" xfId="0" applyFont="1"/>
    <xf numFmtId="14" fontId="24" fillId="0" borderId="0" xfId="0" applyNumberFormat="1" applyFont="1"/>
    <xf numFmtId="165" fontId="24" fillId="0" borderId="0" xfId="0" applyNumberFormat="1" applyFont="1"/>
    <xf numFmtId="0" fontId="23" fillId="0" borderId="0" xfId="0" applyFont="1"/>
    <xf numFmtId="165" fontId="23" fillId="0" borderId="0" xfId="0" applyNumberFormat="1" applyFont="1"/>
    <xf numFmtId="165" fontId="22" fillId="0" borderId="0" xfId="0" applyNumberFormat="1" applyFont="1"/>
    <xf numFmtId="14" fontId="22" fillId="0" borderId="0" xfId="0" applyNumberFormat="1" applyFont="1"/>
    <xf numFmtId="0" fontId="22" fillId="0" borderId="0" xfId="0" applyFont="1"/>
    <xf numFmtId="0" fontId="21" fillId="0" borderId="0" xfId="0" applyFont="1"/>
    <xf numFmtId="0" fontId="20" fillId="0" borderId="0" xfId="0" applyFont="1"/>
    <xf numFmtId="14" fontId="20" fillId="0" borderId="0" xfId="0" applyNumberFormat="1" applyFont="1"/>
    <xf numFmtId="165" fontId="20" fillId="0" borderId="0" xfId="0" applyNumberFormat="1" applyFont="1"/>
    <xf numFmtId="14" fontId="19" fillId="0" borderId="0" xfId="0" applyNumberFormat="1" applyFont="1"/>
    <xf numFmtId="0" fontId="18" fillId="0" borderId="0" xfId="0" applyFont="1"/>
    <xf numFmtId="165" fontId="18" fillId="0" borderId="0" xfId="0" applyNumberFormat="1" applyFont="1"/>
    <xf numFmtId="14" fontId="17" fillId="0" borderId="17" xfId="0" applyNumberFormat="1" applyFont="1" applyBorder="1"/>
    <xf numFmtId="0" fontId="16" fillId="0" borderId="0" xfId="0" applyFont="1"/>
    <xf numFmtId="165" fontId="16" fillId="0" borderId="0" xfId="0" applyNumberFormat="1" applyFont="1"/>
    <xf numFmtId="14" fontId="16" fillId="0" borderId="0" xfId="0" applyNumberFormat="1" applyFont="1"/>
    <xf numFmtId="0" fontId="15" fillId="0" borderId="0" xfId="0" applyFont="1"/>
    <xf numFmtId="0" fontId="21" fillId="7" borderId="0" xfId="0" applyFont="1" applyFill="1"/>
    <xf numFmtId="14" fontId="21" fillId="0" borderId="0" xfId="0" applyNumberFormat="1" applyFont="1"/>
    <xf numFmtId="165" fontId="21" fillId="0" borderId="0" xfId="0" applyNumberFormat="1" applyFont="1"/>
    <xf numFmtId="0" fontId="14" fillId="0" borderId="0" xfId="0" applyFont="1"/>
    <xf numFmtId="165" fontId="14" fillId="0" borderId="0" xfId="0" applyNumberFormat="1" applyFont="1"/>
    <xf numFmtId="14" fontId="13" fillId="0" borderId="0" xfId="0" applyNumberFormat="1" applyFont="1"/>
    <xf numFmtId="0" fontId="72" fillId="7" borderId="0" xfId="0" applyFont="1" applyFill="1"/>
    <xf numFmtId="43" fontId="0" fillId="7" borderId="0" xfId="4" applyFont="1" applyFill="1"/>
    <xf numFmtId="166" fontId="0" fillId="7" borderId="0" xfId="8" applyNumberFormat="1" applyFont="1" applyFill="1"/>
    <xf numFmtId="43" fontId="0" fillId="0" borderId="0" xfId="4" applyFont="1" applyFill="1"/>
    <xf numFmtId="165" fontId="12" fillId="0" borderId="0" xfId="0" applyNumberFormat="1" applyFont="1"/>
    <xf numFmtId="0" fontId="12" fillId="0" borderId="0" xfId="0" applyFont="1"/>
    <xf numFmtId="14" fontId="12" fillId="0" borderId="0" xfId="0" applyNumberFormat="1" applyFont="1"/>
    <xf numFmtId="0" fontId="91" fillId="0" borderId="18" xfId="0" applyFont="1" applyBorder="1"/>
    <xf numFmtId="0" fontId="91" fillId="0" borderId="19" xfId="0" applyFont="1" applyBorder="1"/>
    <xf numFmtId="1" fontId="81" fillId="0" borderId="20" xfId="0" applyNumberFormat="1" applyFont="1" applyBorder="1" applyAlignment="1">
      <alignment horizontal="left"/>
    </xf>
    <xf numFmtId="0" fontId="91" fillId="0" borderId="14" xfId="0" applyFont="1" applyBorder="1"/>
    <xf numFmtId="0" fontId="11" fillId="0" borderId="0" xfId="0" applyFont="1"/>
    <xf numFmtId="14" fontId="11" fillId="0" borderId="0" xfId="0" applyNumberFormat="1" applyFont="1"/>
    <xf numFmtId="165" fontId="11" fillId="0" borderId="0" xfId="0" applyNumberFormat="1" applyFont="1"/>
    <xf numFmtId="14" fontId="10" fillId="0" borderId="0" xfId="0" applyNumberFormat="1" applyFont="1"/>
    <xf numFmtId="43" fontId="72" fillId="0" borderId="0" xfId="4" applyFont="1"/>
    <xf numFmtId="14" fontId="60" fillId="0" borderId="0" xfId="7" applyNumberFormat="1"/>
    <xf numFmtId="0" fontId="0" fillId="0" borderId="0" xfId="7" applyFont="1"/>
    <xf numFmtId="0" fontId="9" fillId="0" borderId="0" xfId="7" applyFont="1"/>
    <xf numFmtId="14" fontId="84" fillId="0" borderId="0" xfId="7" applyNumberFormat="1" applyFont="1"/>
    <xf numFmtId="14" fontId="9" fillId="0" borderId="0" xfId="7" applyNumberFormat="1" applyFont="1"/>
    <xf numFmtId="165" fontId="9" fillId="0" borderId="0" xfId="7" applyNumberFormat="1" applyFont="1"/>
    <xf numFmtId="14" fontId="9" fillId="0" borderId="0" xfId="0" applyNumberFormat="1" applyFont="1"/>
    <xf numFmtId="14" fontId="8" fillId="0" borderId="0" xfId="0" applyNumberFormat="1" applyFont="1"/>
    <xf numFmtId="165" fontId="8" fillId="0" borderId="0" xfId="0" applyNumberFormat="1" applyFont="1"/>
    <xf numFmtId="0" fontId="7" fillId="0" borderId="0" xfId="0" applyFont="1"/>
    <xf numFmtId="0" fontId="6" fillId="0" borderId="0" xfId="0" applyFont="1"/>
    <xf numFmtId="0" fontId="5" fillId="0" borderId="0" xfId="0" applyFont="1"/>
    <xf numFmtId="0" fontId="94" fillId="0" borderId="0" xfId="0" applyFont="1" applyAlignment="1">
      <alignment vertical="center"/>
    </xf>
    <xf numFmtId="0" fontId="94" fillId="0" borderId="0" xfId="0" applyFont="1" applyAlignment="1">
      <alignment horizontal="left" vertical="center" indent="2"/>
    </xf>
    <xf numFmtId="0" fontId="4" fillId="0" borderId="0" xfId="0" applyFont="1"/>
    <xf numFmtId="14" fontId="3" fillId="0" borderId="0" xfId="0" applyNumberFormat="1" applyFont="1"/>
    <xf numFmtId="0" fontId="3" fillId="0" borderId="0" xfId="0" applyFont="1"/>
    <xf numFmtId="165" fontId="3" fillId="0" borderId="0" xfId="0" applyNumberFormat="1" applyFont="1"/>
    <xf numFmtId="0" fontId="2" fillId="0" borderId="0" xfId="0" applyFont="1"/>
    <xf numFmtId="44" fontId="72" fillId="0" borderId="0" xfId="8" applyFont="1" applyFill="1" applyBorder="1" applyAlignment="1">
      <alignment horizontal="center"/>
    </xf>
    <xf numFmtId="43" fontId="81" fillId="0" borderId="0" xfId="0" applyNumberFormat="1" applyFont="1"/>
    <xf numFmtId="44" fontId="81" fillId="0" borderId="0" xfId="8" applyFont="1" applyFill="1" applyBorder="1" applyAlignment="1"/>
    <xf numFmtId="43" fontId="72" fillId="0" borderId="0" xfId="0" applyNumberFormat="1" applyFont="1"/>
    <xf numFmtId="0" fontId="1" fillId="0" borderId="0" xfId="0" applyFont="1"/>
    <xf numFmtId="0" fontId="81" fillId="7" borderId="0" xfId="0" applyFont="1" applyFill="1"/>
    <xf numFmtId="44" fontId="72" fillId="4" borderId="0" xfId="8" applyFont="1" applyFill="1" applyBorder="1" applyAlignment="1">
      <alignment horizontal="center"/>
    </xf>
    <xf numFmtId="44" fontId="72" fillId="4" borderId="16" xfId="8" applyFont="1" applyFill="1" applyBorder="1" applyAlignment="1">
      <alignment horizontal="center"/>
    </xf>
    <xf numFmtId="0" fontId="81" fillId="0" borderId="0" xfId="0" applyFont="1" applyAlignment="1">
      <alignment horizontal="center"/>
    </xf>
    <xf numFmtId="44" fontId="72" fillId="0" borderId="0" xfId="8" applyFont="1" applyFill="1" applyBorder="1" applyAlignment="1">
      <alignment horizontal="center"/>
    </xf>
    <xf numFmtId="0" fontId="70" fillId="3" borderId="4" xfId="0" applyFont="1" applyFill="1" applyBorder="1" applyAlignment="1">
      <alignment horizontal="center"/>
    </xf>
    <xf numFmtId="0" fontId="70" fillId="3" borderId="5" xfId="0" applyFont="1" applyFill="1" applyBorder="1" applyAlignment="1">
      <alignment horizontal="center"/>
    </xf>
    <xf numFmtId="0" fontId="70" fillId="3" borderId="6" xfId="0" applyFont="1" applyFill="1" applyBorder="1" applyAlignment="1">
      <alignment horizontal="center"/>
    </xf>
    <xf numFmtId="0" fontId="70" fillId="3" borderId="1" xfId="0" applyFont="1" applyFill="1" applyBorder="1" applyAlignment="1">
      <alignment horizontal="center"/>
    </xf>
    <xf numFmtId="0" fontId="70" fillId="3" borderId="2" xfId="0" applyFont="1" applyFill="1" applyBorder="1" applyAlignment="1">
      <alignment horizontal="center"/>
    </xf>
    <xf numFmtId="0" fontId="70" fillId="3" borderId="3" xfId="0" applyFont="1" applyFill="1" applyBorder="1" applyAlignment="1">
      <alignment horizontal="center"/>
    </xf>
    <xf numFmtId="14" fontId="72" fillId="4" borderId="1" xfId="0" applyNumberFormat="1" applyFont="1" applyFill="1" applyBorder="1" applyAlignment="1">
      <alignment horizontal="center"/>
    </xf>
    <xf numFmtId="14" fontId="72" fillId="4" borderId="2" xfId="0" applyNumberFormat="1" applyFont="1" applyFill="1" applyBorder="1" applyAlignment="1">
      <alignment horizontal="center"/>
    </xf>
    <xf numFmtId="14" fontId="72" fillId="4" borderId="3" xfId="0" applyNumberFormat="1" applyFont="1" applyFill="1" applyBorder="1" applyAlignment="1">
      <alignment horizontal="center"/>
    </xf>
    <xf numFmtId="43" fontId="74" fillId="5" borderId="1" xfId="4" applyFont="1" applyFill="1" applyBorder="1" applyAlignment="1">
      <alignment horizontal="center"/>
    </xf>
    <xf numFmtId="43" fontId="74" fillId="5" borderId="2" xfId="4" applyFont="1" applyFill="1" applyBorder="1" applyAlignment="1">
      <alignment horizontal="center"/>
    </xf>
    <xf numFmtId="43" fontId="74" fillId="5" borderId="3" xfId="4" applyFont="1" applyFill="1" applyBorder="1" applyAlignment="1">
      <alignment horizontal="center"/>
    </xf>
    <xf numFmtId="43" fontId="82" fillId="0" borderId="0" xfId="0" applyNumberFormat="1" applyFont="1" applyFill="1"/>
    <xf numFmtId="43" fontId="82" fillId="0" borderId="0" xfId="0" applyNumberFormat="1" applyFont="1" applyFill="1" applyAlignment="1">
      <alignment horizontal="right"/>
    </xf>
    <xf numFmtId="0" fontId="81" fillId="0" borderId="0" xfId="0" applyFont="1" applyFill="1"/>
    <xf numFmtId="2" fontId="81" fillId="0" borderId="0" xfId="0" applyNumberFormat="1" applyFont="1" applyFill="1"/>
    <xf numFmtId="0" fontId="81" fillId="0" borderId="0" xfId="0" applyFont="1" applyFill="1" applyAlignment="1">
      <alignment horizontal="center"/>
    </xf>
    <xf numFmtId="0" fontId="81" fillId="0" borderId="0" xfId="0" applyFont="1" applyFill="1" applyAlignment="1">
      <alignment horizontal="center"/>
    </xf>
  </cellXfs>
  <cellStyles count="9">
    <cellStyle name="Comma" xfId="4" builtinId="3"/>
    <cellStyle name="Currency" xfId="8" builtinId="4"/>
    <cellStyle name="Explanatory Text" xfId="2" builtinId="53" customBuiltin="1"/>
    <cellStyle name="Hyperlink" xfId="3" builtinId="8"/>
    <cellStyle name="Normal" xfId="0" builtinId="0"/>
    <cellStyle name="Normal 2" xfId="5" xr:uid="{00000000-0005-0000-0000-000004000000}"/>
    <cellStyle name="Normal 3" xfId="7" xr:uid="{C5EDEDBA-3B0E-47A5-A032-CF0F98A50978}"/>
    <cellStyle name="Percent" xfId="1" builtinId="5"/>
    <cellStyle name="Percent 2" xfId="6" xr:uid="{00000000-0005-0000-0000-000006000000}"/>
  </cellStyles>
  <dxfs count="1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35" formatCode="_(* #,##0.00_);_(* \(#,##0.00\);_(* &quot;-&quot;??_);_(@_)"/>
    </dxf>
    <dxf>
      <numFmt numFmtId="35" formatCode="_(* #,##0.00_);_(* \(#,##0.00\);_(* &quot;-&quot;??_);_(@_)"/>
    </dxf>
    <dxf>
      <numFmt numFmtId="35" formatCode="_(* #,##0.00_);_(* \(#,##0.00\);_(* &quot;-&quot;??_);_(@_)"/>
    </dxf>
    <dxf>
      <numFmt numFmtId="19" formatCode="m/d/yyyy"/>
    </dxf>
    <dxf>
      <numFmt numFmtId="14" formatCode="0.0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dxf>
    <dxf>
      <numFmt numFmtId="19" formatCode="m/d/yyyy"/>
    </dxf>
    <dxf>
      <numFmt numFmtId="35" formatCode="_(* #,##0.00_);_(* \(#,##0.00\);_(* &quot;-&quot;??_);_(@_)"/>
    </dxf>
    <dxf>
      <numFmt numFmtId="35" formatCode="_(* #,##0.00_);_(* \(#,##0.00\);_(* &quot;-&quot;??_);_(@_)"/>
    </dxf>
    <dxf>
      <numFmt numFmtId="35" formatCode="_(* #,##0.00_);_(* \(#,##0.00\);_(* &quot;-&quot;??_);_(@_)"/>
      <alignment horizontal="general" vertical="bottom" textRotation="0" wrapText="0" indent="0" justifyLastLine="0" shrinkToFit="0" readingOrder="0"/>
    </dxf>
    <dxf>
      <numFmt numFmtId="0" formatCode="General"/>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rgb="FF000000"/>
        <name val="Calibri"/>
        <family val="2"/>
        <charset val="1"/>
        <scheme val="none"/>
      </font>
      <numFmt numFmtId="35" formatCode="_(* #,##0.00_);_(* \(#,##0.00\);_(* &quot;-&quot;??_);_(@_)"/>
    </dxf>
    <dxf>
      <numFmt numFmtId="35" formatCode="_(* #,##0.00_);_(* \(#,##0.00\);_(* &quot;-&quot;??_);_(@_)"/>
    </dxf>
    <dxf>
      <numFmt numFmtId="164" formatCode="0.0%"/>
    </dxf>
    <dxf>
      <font>
        <b val="0"/>
        <i val="0"/>
        <strike val="0"/>
        <condense val="0"/>
        <extend val="0"/>
        <outline val="0"/>
        <shadow val="0"/>
        <u val="none"/>
        <vertAlign val="baseline"/>
        <sz val="11"/>
        <color rgb="FF000000"/>
        <name val="Calibri"/>
        <family val="2"/>
        <charset val="1"/>
        <scheme val="none"/>
      </font>
      <numFmt numFmtId="35" formatCode="_(* #,##0.00_);_(* \(#,##0.00\);_(* &quot;-&quot;??_);_(@_)"/>
    </dxf>
    <dxf>
      <numFmt numFmtId="0" formatCode="General"/>
    </dxf>
    <dxf>
      <numFmt numFmtId="0" formatCode="General"/>
    </dxf>
    <dxf>
      <font>
        <b val="0"/>
        <i val="0"/>
        <strike val="0"/>
        <condense val="0"/>
        <extend val="0"/>
        <outline val="0"/>
        <shadow val="0"/>
        <u val="none"/>
        <vertAlign val="baseline"/>
        <sz val="11"/>
        <color rgb="FF000000"/>
        <name val="Calibri"/>
        <family val="2"/>
        <charset val="1"/>
        <scheme val="none"/>
      </font>
      <numFmt numFmtId="35" formatCode="_(* #,##0.00_);_(* \(#,##0.00\);_(* &quot;-&quot;??_);_(@_)"/>
    </dxf>
    <dxf>
      <font>
        <b val="0"/>
        <i val="0"/>
        <strike val="0"/>
        <condense val="0"/>
        <extend val="0"/>
        <outline val="0"/>
        <shadow val="0"/>
        <u val="none"/>
        <vertAlign val="baseline"/>
        <sz val="11"/>
        <color rgb="FF000000"/>
        <name val="Calibri"/>
        <family val="2"/>
        <charset val="1"/>
        <scheme val="none"/>
      </font>
      <fill>
        <patternFill patternType="solid">
          <fgColor indexed="64"/>
          <bgColor theme="5" tint="0.39997558519241921"/>
        </patternFill>
      </fill>
    </dxf>
    <dxf>
      <font>
        <b val="0"/>
        <i val="0"/>
        <strike val="0"/>
        <condense val="0"/>
        <extend val="0"/>
        <outline val="0"/>
        <shadow val="0"/>
        <u val="none"/>
        <vertAlign val="baseline"/>
        <sz val="11"/>
        <color rgb="FF000000"/>
        <name val="Calibri"/>
        <family val="2"/>
        <charset val="1"/>
        <scheme val="none"/>
      </font>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numFmt numFmtId="19" formatCode="m/d/yyyy"/>
      <fill>
        <patternFill patternType="solid">
          <fgColor indexed="64"/>
          <bgColor theme="5" tint="0.39997558519241921"/>
        </patternFill>
      </fill>
    </dxf>
    <dxf>
      <font>
        <b val="0"/>
        <i val="0"/>
        <strike val="0"/>
        <condense val="0"/>
        <extend val="0"/>
        <outline val="0"/>
        <shadow val="0"/>
        <u val="none"/>
        <vertAlign val="baseline"/>
        <sz val="11"/>
        <color rgb="FF000000"/>
        <name val="Calibri"/>
        <family val="2"/>
        <charset val="1"/>
        <scheme val="none"/>
      </font>
    </dxf>
    <dxf>
      <font>
        <b val="0"/>
        <i val="0"/>
        <strike val="0"/>
        <condense val="0"/>
        <extend val="0"/>
        <outline val="0"/>
        <shadow val="0"/>
        <u val="none"/>
        <vertAlign val="baseline"/>
        <sz val="11"/>
        <color theme="1"/>
        <name val="Calibri"/>
        <family val="2"/>
        <charset val="1"/>
        <scheme val="none"/>
      </font>
      <numFmt numFmtId="35" formatCode="_(* #,##0.00_);_(* \(#,##0.00\);_(* &quot;-&quot;??_);_(@_)"/>
      <fill>
        <patternFill patternType="none">
          <fgColor indexed="64"/>
          <bgColor indexed="65"/>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charset val="1"/>
        <scheme val="none"/>
      </font>
      <numFmt numFmtId="35" formatCode="_(* #,##0.00_);_(* \(#,##0.00\);_(* &quot;-&quot;??_);_(@_)"/>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charset val="1"/>
        <scheme val="none"/>
      </font>
      <numFmt numFmtId="35" formatCode="_(* #,##0.00_);_(* \(#,##0.00\);_(* &quot;-&quot;??_);_(@_)"/>
      <fill>
        <patternFill patternType="none">
          <fgColor indexed="64"/>
          <bgColor indexed="65"/>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charset val="1"/>
        <scheme val="none"/>
      </font>
      <numFmt numFmtId="35" formatCode="_(* #,##0.00_);_(* \(#,##0.00\);_(* &quot;-&quot;??_);_(@_)"/>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charset val="1"/>
        <scheme val="none"/>
      </font>
      <fill>
        <patternFill patternType="none">
          <fgColor indexed="64"/>
          <bgColor indexed="65"/>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charset val="1"/>
        <scheme val="none"/>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charset val="1"/>
        <scheme val="none"/>
      </font>
      <fill>
        <patternFill patternType="none">
          <fgColor indexed="64"/>
          <bgColor indexed="65"/>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charset val="1"/>
        <scheme val="none"/>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charset val="1"/>
        <scheme val="none"/>
      </font>
      <fill>
        <patternFill patternType="none">
          <fgColor indexed="64"/>
          <bgColor indexed="65"/>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charset val="1"/>
        <scheme val="none"/>
      </font>
      <numFmt numFmtId="19" formatCode="m/d/yyyy"/>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auto="1"/>
        <name val="Calibri"/>
        <family val="2"/>
        <charset val="1"/>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9" formatCode="m/d/yyyy"/>
      <fill>
        <patternFill patternType="none">
          <fgColor indexed="64"/>
          <bgColor indexed="65"/>
        </patternFill>
      </fill>
    </dxf>
    <dxf>
      <font>
        <color theme="1"/>
      </font>
      <numFmt numFmtId="19" formatCode="m/d/yyyy"/>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m/d/yy"/>
    </dxf>
    <dxf>
      <font>
        <b val="0"/>
        <i val="0"/>
        <strike val="0"/>
        <condense val="0"/>
        <extend val="0"/>
        <outline val="0"/>
        <shadow val="0"/>
        <u val="none"/>
        <vertAlign val="baseline"/>
        <sz val="11"/>
        <color theme="1"/>
        <name val="Calibri"/>
        <family val="2"/>
        <scheme val="minor"/>
      </font>
      <numFmt numFmtId="165" formatCode="m/d/yy"/>
    </dxf>
    <dxf>
      <font>
        <b val="0"/>
        <i val="0"/>
        <strike val="0"/>
        <condense val="0"/>
        <extend val="0"/>
        <outline val="0"/>
        <shadow val="0"/>
        <u val="none"/>
        <vertAlign val="baseline"/>
        <sz val="11"/>
        <color theme="1"/>
        <name val="Calibri"/>
        <family val="2"/>
        <scheme val="minor"/>
      </font>
      <numFmt numFmtId="165" formatCode="m/d/yy"/>
    </dxf>
    <dxf>
      <font>
        <b val="0"/>
        <i val="0"/>
        <strike val="0"/>
        <condense val="0"/>
        <extend val="0"/>
        <outline val="0"/>
        <shadow val="0"/>
        <u val="none"/>
        <vertAlign val="baseline"/>
        <sz val="11"/>
        <color theme="1"/>
        <name val="Calibri"/>
        <family val="2"/>
        <scheme val="minor"/>
      </font>
      <numFmt numFmtId="165" formatCode="m/d/yy"/>
    </dxf>
    <dxf>
      <font>
        <b val="0"/>
        <i val="0"/>
        <strike val="0"/>
        <condense val="0"/>
        <extend val="0"/>
        <outline val="0"/>
        <shadow val="0"/>
        <u val="none"/>
        <vertAlign val="baseline"/>
        <sz val="11"/>
        <color theme="1"/>
        <name val="Calibri"/>
        <family val="2"/>
        <charset val="1"/>
        <scheme val="none"/>
      </font>
      <numFmt numFmtId="19" formatCode="m/d/yyyy"/>
    </dxf>
    <dxf>
      <font>
        <color theme="1"/>
      </font>
      <numFmt numFmtId="19" formatCode="m/d/yyyy"/>
    </dxf>
    <dxf>
      <font>
        <b val="0"/>
        <i val="0"/>
        <strike val="0"/>
        <condense val="0"/>
        <extend val="0"/>
        <outline val="0"/>
        <shadow val="0"/>
        <u val="none"/>
        <vertAlign val="baseline"/>
        <sz val="11"/>
        <color theme="1"/>
        <name val="Calibri"/>
        <family val="2"/>
        <charset val="1"/>
        <scheme val="none"/>
      </font>
      <numFmt numFmtId="19" formatCode="m/d/yyyy"/>
      <fill>
        <patternFill patternType="none">
          <fgColor indexed="64"/>
          <bgColor indexed="65"/>
        </patternFill>
      </fill>
    </dxf>
    <dxf>
      <font>
        <color theme="1"/>
      </font>
      <numFmt numFmtId="19" formatCode="m/d/yyyy"/>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9" formatCode="m/d/yyyy"/>
      <fill>
        <patternFill patternType="none">
          <fgColor indexed="64"/>
          <bgColor indexed="65"/>
        </patternFill>
      </fill>
    </dxf>
    <dxf>
      <font>
        <color theme="1"/>
      </font>
      <numFmt numFmtId="19" formatCode="m/d/yyyy"/>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0" formatCode="General"/>
    </dxf>
    <dxf>
      <font>
        <color theme="1"/>
      </font>
      <numFmt numFmtId="0" formatCode="General"/>
    </dxf>
    <dxf>
      <font>
        <b val="0"/>
        <i val="0"/>
        <strike val="0"/>
        <condense val="0"/>
        <extend val="0"/>
        <outline val="0"/>
        <shadow val="0"/>
        <u val="none"/>
        <vertAlign val="baseline"/>
        <sz val="11"/>
        <color theme="1"/>
        <name val="Calibri"/>
        <family val="2"/>
        <charset val="1"/>
        <scheme val="none"/>
      </font>
      <numFmt numFmtId="19" formatCode="m/d/yyyy"/>
      <fill>
        <patternFill patternType="none">
          <fgColor indexed="64"/>
          <bgColor indexed="65"/>
        </patternFill>
      </fill>
    </dxf>
    <dxf>
      <font>
        <color theme="1"/>
      </font>
      <numFmt numFmtId="19" formatCode="m/d/yyyy"/>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9" formatCode="m/d/yyyy"/>
      <fill>
        <patternFill patternType="none">
          <fgColor indexed="64"/>
          <bgColor indexed="65"/>
        </patternFill>
      </fill>
    </dxf>
    <dxf>
      <font>
        <color theme="1"/>
      </font>
      <numFmt numFmtId="19" formatCode="m/d/yyyy"/>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9" formatCode="m/d/yyyy"/>
      <fill>
        <patternFill patternType="none">
          <fgColor indexed="64"/>
          <bgColor indexed="65"/>
        </patternFill>
      </fill>
    </dxf>
    <dxf>
      <font>
        <color theme="1"/>
      </font>
      <numFmt numFmtId="19" formatCode="m/d/yyyy"/>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9" formatCode="m/d/yyyy"/>
      <fill>
        <patternFill patternType="none">
          <fgColor indexed="64"/>
          <bgColor indexed="65"/>
        </patternFill>
      </fill>
    </dxf>
    <dxf>
      <font>
        <color theme="1"/>
      </font>
      <numFmt numFmtId="19" formatCode="m/d/yyyy"/>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9" formatCode="m/d/yyyy"/>
      <fill>
        <patternFill patternType="none">
          <fgColor indexed="64"/>
          <bgColor indexed="65"/>
        </patternFill>
      </fill>
    </dxf>
    <dxf>
      <font>
        <color theme="1"/>
      </font>
      <numFmt numFmtId="19" formatCode="m/d/yyyy"/>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9" formatCode="m/d/yyyy"/>
      <fill>
        <patternFill patternType="none">
          <fgColor indexed="64"/>
          <bgColor indexed="65"/>
        </patternFill>
      </fill>
    </dxf>
    <dxf>
      <font>
        <color theme="1"/>
      </font>
      <numFmt numFmtId="19" formatCode="m/d/yyyy"/>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9" formatCode="m/d/yyyy"/>
    </dxf>
    <dxf>
      <font>
        <color theme="1"/>
      </font>
      <numFmt numFmtId="19" formatCode="m/d/yyyy"/>
    </dxf>
    <dxf>
      <font>
        <b val="0"/>
        <i val="0"/>
        <strike val="0"/>
        <condense val="0"/>
        <extend val="0"/>
        <outline val="0"/>
        <shadow val="0"/>
        <u val="none"/>
        <vertAlign val="baseline"/>
        <sz val="11"/>
        <color theme="1"/>
        <name val="Calibri"/>
        <family val="2"/>
        <charset val="1"/>
        <scheme val="none"/>
      </font>
      <numFmt numFmtId="19" formatCode="m/d/yyyy"/>
    </dxf>
    <dxf>
      <font>
        <color theme="1"/>
      </font>
      <numFmt numFmtId="19" formatCode="m/d/yyyy"/>
    </dxf>
    <dxf>
      <font>
        <b val="0"/>
        <i val="0"/>
        <strike val="0"/>
        <condense val="0"/>
        <extend val="0"/>
        <outline val="0"/>
        <shadow val="0"/>
        <u val="none"/>
        <vertAlign val="baseline"/>
        <sz val="11"/>
        <color theme="1"/>
        <name val="Calibri"/>
        <family val="2"/>
        <charset val="1"/>
        <scheme val="none"/>
      </font>
      <numFmt numFmtId="19" formatCode="m/d/yyyy"/>
    </dxf>
    <dxf>
      <font>
        <color theme="1"/>
      </font>
      <numFmt numFmtId="19" formatCode="m/d/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charset val="1"/>
        <scheme val="none"/>
      </font>
      <numFmt numFmtId="0" formatCode="General"/>
    </dxf>
    <dxf>
      <font>
        <color theme="1"/>
      </font>
      <numFmt numFmtId="0" formatCode="General"/>
    </dxf>
    <dxf>
      <font>
        <b val="0"/>
        <i val="0"/>
        <strike val="0"/>
        <condense val="0"/>
        <extend val="0"/>
        <outline val="0"/>
        <shadow val="0"/>
        <u val="none"/>
        <vertAlign val="baseline"/>
        <sz val="11"/>
        <color rgb="FF000000"/>
        <name val="Calibri"/>
        <family val="2"/>
        <charset val="1"/>
        <scheme val="none"/>
      </font>
    </dxf>
    <dxf>
      <font>
        <b val="0"/>
        <i val="0"/>
        <strike val="0"/>
        <condense val="0"/>
        <extend val="0"/>
        <outline val="0"/>
        <shadow val="0"/>
        <u val="none"/>
        <vertAlign val="baseline"/>
        <sz val="11"/>
        <color rgb="FF000000"/>
        <name val="Calibri"/>
        <family val="2"/>
        <charset val="1"/>
        <scheme val="none"/>
      </font>
    </dxf>
    <dxf>
      <font>
        <b val="0"/>
        <i val="0"/>
        <strike val="0"/>
        <condense val="0"/>
        <extend val="0"/>
        <outline val="0"/>
        <shadow val="0"/>
        <u val="none"/>
        <vertAlign val="baseline"/>
        <sz val="11"/>
        <color rgb="FF000000"/>
        <name val="Calibri"/>
        <family val="2"/>
        <charset val="1"/>
        <scheme val="none"/>
      </font>
      <numFmt numFmtId="0" formatCode="General"/>
    </dxf>
    <dxf>
      <font>
        <b val="0"/>
        <i val="0"/>
        <strike val="0"/>
        <condense val="0"/>
        <extend val="0"/>
        <outline val="0"/>
        <shadow val="0"/>
        <u val="none"/>
        <vertAlign val="baseline"/>
        <sz val="11"/>
        <color rgb="FF000000"/>
        <name val="Calibri"/>
        <family val="2"/>
        <charset val="1"/>
        <scheme val="none"/>
      </font>
      <numFmt numFmtId="0" formatCode="General"/>
    </dxf>
    <dxf>
      <numFmt numFmtId="0" formatCode="General"/>
    </dxf>
    <dxf>
      <numFmt numFmtId="19" formatCode="m/d/yyyy"/>
    </dxf>
    <dxf>
      <font>
        <color theme="1"/>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fill>
        <patternFill>
          <bgColor rgb="FFFFC000"/>
        </patternFill>
      </fill>
    </dxf>
    <dxf>
      <fill>
        <patternFill patternType="solid">
          <bgColor rgb="FFFFCE33"/>
        </patternFill>
      </fill>
    </dxf>
    <dxf>
      <fill>
        <patternFill patternType="solid">
          <bgColor rgb="FFFFC000"/>
        </patternFill>
      </fill>
    </dxf>
    <dxf>
      <fill>
        <patternFill patternType="none">
          <bgColor auto="1"/>
        </patternFill>
      </fill>
    </dxf>
    <dxf>
      <fill>
        <patternFill patternType="solid">
          <bgColor rgb="FFFFC000"/>
        </patternFill>
      </fill>
    </dxf>
    <dxf>
      <fill>
        <patternFill patternType="solid">
          <bgColor rgb="FFFFC000"/>
        </patternFill>
      </fill>
    </dxf>
    <dxf>
      <fill>
        <patternFill>
          <fgColor indexed="64"/>
          <bgColor rgb="FFFFC000"/>
        </patternFill>
      </fill>
    </dxf>
    <dxf>
      <fill>
        <patternFill patternType="solid">
          <bgColor rgb="FFFFFF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none">
          <bgColor auto="1"/>
        </patternFill>
      </fill>
    </dxf>
    <dxf>
      <fill>
        <patternFill patternType="none">
          <bgColor auto="1"/>
        </patternFill>
      </fill>
    </dxf>
    <dxf>
      <fill>
        <patternFill patternType="none">
          <fgColor indexed="64"/>
          <bgColor indexed="65"/>
        </patternFill>
      </fill>
    </dxf>
    <dxf>
      <fill>
        <patternFill patternType="solid">
          <fgColor indexed="64"/>
          <bgColor rgb="FFFFC000"/>
        </patternFill>
      </fill>
    </dxf>
    <dxf>
      <fill>
        <patternFill patternType="solid">
          <fgColor indexed="64"/>
          <bgColor rgb="FFFFC000"/>
        </patternFill>
      </fill>
    </dxf>
    <dxf>
      <fill>
        <patternFill patternType="solid">
          <bgColor theme="5" tint="0.39997558519241921"/>
        </patternFill>
      </fill>
    </dxf>
    <dxf>
      <fill>
        <patternFill patternType="none">
          <bgColor auto="1"/>
        </patternFill>
      </fill>
    </dxf>
    <dxf>
      <fill>
        <patternFill patternType="solid">
          <fgColor indexed="64"/>
          <bgColor rgb="FFFFC000"/>
        </patternFill>
      </fill>
    </dxf>
    <dxf>
      <numFmt numFmtId="35" formatCode="_(* #,##0.00_);_(* \(#,##0.00\);_(* &quot;-&quot;??_);_(@_)"/>
    </dxf>
    <dxf>
      <fill>
        <patternFill patternType="solid">
          <bgColor theme="5" tint="0.39997558519241921"/>
        </patternFill>
      </fill>
    </dxf>
    <dxf>
      <fill>
        <patternFill patternType="solid">
          <bgColor rgb="FFFFC000"/>
        </patternFill>
      </fill>
    </dxf>
    <dxf>
      <numFmt numFmtId="167" formatCode="_(* #,##0.0_);_(* \(#,##0.0\);_(* &quot;-&quot;??_);_(@_)"/>
    </dxf>
    <dxf>
      <fill>
        <patternFill patternType="none">
          <bgColor auto="1"/>
        </patternFill>
      </fill>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alignment horizontal="right"/>
    </dxf>
    <dxf>
      <alignment horizontal="right"/>
    </dxf>
    <dxf>
      <alignment horizontal="general"/>
    </dxf>
    <dxf>
      <alignment horizontal="general"/>
    </dxf>
    <dxf>
      <alignment horizontal="right"/>
    </dxf>
    <dxf>
      <alignment horizontal="right"/>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2" formatCode="0.00"/>
    </dxf>
    <dxf>
      <numFmt numFmtId="168" formatCode="0.000"/>
    </dxf>
    <dxf>
      <numFmt numFmtId="169" formatCode="0.0000"/>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CE33"/>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14</xdr:col>
      <xdr:colOff>78995</xdr:colOff>
      <xdr:row>89</xdr:row>
      <xdr:rowOff>170736</xdr:rowOff>
    </xdr:to>
    <xdr:pic>
      <xdr:nvPicPr>
        <xdr:cNvPr id="2" name="Picture 1">
          <a:extLst>
            <a:ext uri="{FF2B5EF4-FFF2-40B4-BE49-F238E27FC236}">
              <a16:creationId xmlns:a16="http://schemas.microsoft.com/office/drawing/2014/main" id="{183A877F-9547-47C2-9E58-C64600C9AE37}"/>
            </a:ext>
          </a:extLst>
        </xdr:cNvPr>
        <xdr:cNvPicPr>
          <a:picLocks noChangeAspect="1"/>
        </xdr:cNvPicPr>
      </xdr:nvPicPr>
      <xdr:blipFill>
        <a:blip xmlns:r="http://schemas.openxmlformats.org/officeDocument/2006/relationships" r:embed="rId1"/>
        <a:stretch>
          <a:fillRect/>
        </a:stretch>
      </xdr:blipFill>
      <xdr:spPr>
        <a:xfrm>
          <a:off x="0" y="11811000"/>
          <a:ext cx="10080245" cy="4933236"/>
        </a:xfrm>
        <a:prstGeom prst="rect">
          <a:avLst/>
        </a:prstGeom>
      </xdr:spPr>
    </xdr:pic>
    <xdr:clientData/>
  </xdr:twoCellAnchor>
  <xdr:twoCellAnchor editAs="oneCell">
    <xdr:from>
      <xdr:col>0</xdr:col>
      <xdr:colOff>600075</xdr:colOff>
      <xdr:row>33</xdr:row>
      <xdr:rowOff>85725</xdr:rowOff>
    </xdr:from>
    <xdr:to>
      <xdr:col>4</xdr:col>
      <xdr:colOff>428082</xdr:colOff>
      <xdr:row>59</xdr:row>
      <xdr:rowOff>47011</xdr:rowOff>
    </xdr:to>
    <xdr:pic>
      <xdr:nvPicPr>
        <xdr:cNvPr id="3" name="Picture 2">
          <a:extLst>
            <a:ext uri="{FF2B5EF4-FFF2-40B4-BE49-F238E27FC236}">
              <a16:creationId xmlns:a16="http://schemas.microsoft.com/office/drawing/2014/main" id="{294414DF-23CB-47CA-8B48-A3AF3DABEA12}"/>
            </a:ext>
          </a:extLst>
        </xdr:cNvPr>
        <xdr:cNvPicPr>
          <a:picLocks noChangeAspect="1"/>
        </xdr:cNvPicPr>
      </xdr:nvPicPr>
      <xdr:blipFill>
        <a:blip xmlns:r="http://schemas.openxmlformats.org/officeDocument/2006/relationships" r:embed="rId2"/>
        <a:stretch>
          <a:fillRect/>
        </a:stretch>
      </xdr:blipFill>
      <xdr:spPr>
        <a:xfrm>
          <a:off x="600075" y="6562725"/>
          <a:ext cx="4361907" cy="4914286"/>
        </a:xfrm>
        <a:prstGeom prst="rect">
          <a:avLst/>
        </a:prstGeom>
      </xdr:spPr>
    </xdr:pic>
    <xdr:clientData/>
  </xdr:twoCellAnchor>
  <xdr:twoCellAnchor editAs="oneCell">
    <xdr:from>
      <xdr:col>1</xdr:col>
      <xdr:colOff>0</xdr:colOff>
      <xdr:row>98</xdr:row>
      <xdr:rowOff>19050</xdr:rowOff>
    </xdr:from>
    <xdr:to>
      <xdr:col>18</xdr:col>
      <xdr:colOff>153036</xdr:colOff>
      <xdr:row>127</xdr:row>
      <xdr:rowOff>113392</xdr:rowOff>
    </xdr:to>
    <xdr:pic>
      <xdr:nvPicPr>
        <xdr:cNvPr id="4" name="Picture 3">
          <a:extLst>
            <a:ext uri="{FF2B5EF4-FFF2-40B4-BE49-F238E27FC236}">
              <a16:creationId xmlns:a16="http://schemas.microsoft.com/office/drawing/2014/main" id="{7BDF570C-F385-4F89-8199-EB8C53384963}"/>
            </a:ext>
          </a:extLst>
        </xdr:cNvPr>
        <xdr:cNvPicPr>
          <a:picLocks noChangeAspect="1"/>
        </xdr:cNvPicPr>
      </xdr:nvPicPr>
      <xdr:blipFill>
        <a:blip xmlns:r="http://schemas.openxmlformats.org/officeDocument/2006/relationships" r:embed="rId3"/>
        <a:stretch>
          <a:fillRect/>
        </a:stretch>
      </xdr:blipFill>
      <xdr:spPr>
        <a:xfrm>
          <a:off x="0" y="18116550"/>
          <a:ext cx="12592686" cy="5618842"/>
        </a:xfrm>
        <a:prstGeom prst="rect">
          <a:avLst/>
        </a:prstGeom>
      </xdr:spPr>
    </xdr:pic>
    <xdr:clientData/>
  </xdr:twoCellAnchor>
  <xdr:twoCellAnchor editAs="oneCell">
    <xdr:from>
      <xdr:col>1</xdr:col>
      <xdr:colOff>0</xdr:colOff>
      <xdr:row>153</xdr:row>
      <xdr:rowOff>20889</xdr:rowOff>
    </xdr:from>
    <xdr:to>
      <xdr:col>17</xdr:col>
      <xdr:colOff>276224</xdr:colOff>
      <xdr:row>176</xdr:row>
      <xdr:rowOff>104015</xdr:rowOff>
    </xdr:to>
    <xdr:pic>
      <xdr:nvPicPr>
        <xdr:cNvPr id="5" name="Picture 4">
          <a:extLst>
            <a:ext uri="{FF2B5EF4-FFF2-40B4-BE49-F238E27FC236}">
              <a16:creationId xmlns:a16="http://schemas.microsoft.com/office/drawing/2014/main" id="{1CF5CD79-DBF5-4C6D-BDCF-331F18AE344E}"/>
            </a:ext>
          </a:extLst>
        </xdr:cNvPr>
        <xdr:cNvPicPr>
          <a:picLocks noChangeAspect="1"/>
        </xdr:cNvPicPr>
      </xdr:nvPicPr>
      <xdr:blipFill>
        <a:blip xmlns:r="http://schemas.openxmlformats.org/officeDocument/2006/relationships" r:embed="rId4"/>
        <a:stretch>
          <a:fillRect/>
        </a:stretch>
      </xdr:blipFill>
      <xdr:spPr>
        <a:xfrm>
          <a:off x="0" y="24976389"/>
          <a:ext cx="12106274" cy="4464626"/>
        </a:xfrm>
        <a:prstGeom prst="rect">
          <a:avLst/>
        </a:prstGeom>
      </xdr:spPr>
    </xdr:pic>
    <xdr:clientData/>
  </xdr:twoCellAnchor>
  <xdr:twoCellAnchor editAs="oneCell">
    <xdr:from>
      <xdr:col>1</xdr:col>
      <xdr:colOff>0</xdr:colOff>
      <xdr:row>185</xdr:row>
      <xdr:rowOff>9525</xdr:rowOff>
    </xdr:from>
    <xdr:to>
      <xdr:col>18</xdr:col>
      <xdr:colOff>75678</xdr:colOff>
      <xdr:row>217</xdr:row>
      <xdr:rowOff>151281</xdr:rowOff>
    </xdr:to>
    <xdr:pic>
      <xdr:nvPicPr>
        <xdr:cNvPr id="8" name="Picture 7">
          <a:extLst>
            <a:ext uri="{FF2B5EF4-FFF2-40B4-BE49-F238E27FC236}">
              <a16:creationId xmlns:a16="http://schemas.microsoft.com/office/drawing/2014/main" id="{61036D74-306C-4E02-881C-F635CF6A4CEC}"/>
            </a:ext>
          </a:extLst>
        </xdr:cNvPr>
        <xdr:cNvPicPr>
          <a:picLocks noChangeAspect="1"/>
        </xdr:cNvPicPr>
      </xdr:nvPicPr>
      <xdr:blipFill>
        <a:blip xmlns:r="http://schemas.openxmlformats.org/officeDocument/2006/relationships" r:embed="rId5"/>
        <a:stretch>
          <a:fillRect/>
        </a:stretch>
      </xdr:blipFill>
      <xdr:spPr>
        <a:xfrm>
          <a:off x="0" y="31061025"/>
          <a:ext cx="12515328" cy="6237756"/>
        </a:xfrm>
        <a:prstGeom prst="rect">
          <a:avLst/>
        </a:prstGeom>
        <a:solidFill>
          <a:srgbClr val="FFFF00">
            <a:alpha val="49000"/>
          </a:srgbClr>
        </a:solidFill>
        <a:ln>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twoCellAnchor>
  <xdr:twoCellAnchor editAs="oneCell">
    <xdr:from>
      <xdr:col>0</xdr:col>
      <xdr:colOff>582030</xdr:colOff>
      <xdr:row>235</xdr:row>
      <xdr:rowOff>85725</xdr:rowOff>
    </xdr:from>
    <xdr:to>
      <xdr:col>21</xdr:col>
      <xdr:colOff>364417</xdr:colOff>
      <xdr:row>260</xdr:row>
      <xdr:rowOff>38894</xdr:rowOff>
    </xdr:to>
    <xdr:pic>
      <xdr:nvPicPr>
        <xdr:cNvPr id="6" name="Picture 5">
          <a:extLst>
            <a:ext uri="{FF2B5EF4-FFF2-40B4-BE49-F238E27FC236}">
              <a16:creationId xmlns:a16="http://schemas.microsoft.com/office/drawing/2014/main" id="{05ABEA7A-D989-4BC0-AD1C-E062CBCF1CF9}"/>
            </a:ext>
          </a:extLst>
        </xdr:cNvPr>
        <xdr:cNvPicPr>
          <a:picLocks noChangeAspect="1"/>
        </xdr:cNvPicPr>
      </xdr:nvPicPr>
      <xdr:blipFill>
        <a:blip xmlns:r="http://schemas.openxmlformats.org/officeDocument/2006/relationships" r:embed="rId6"/>
        <a:stretch>
          <a:fillRect/>
        </a:stretch>
      </xdr:blipFill>
      <xdr:spPr>
        <a:xfrm>
          <a:off x="582030" y="45043725"/>
          <a:ext cx="14660437" cy="4715669"/>
        </a:xfrm>
        <a:prstGeom prst="rect">
          <a:avLst/>
        </a:prstGeom>
        <a:solidFill>
          <a:schemeClr val="accent2"/>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1533274</xdr:colOff>
      <xdr:row>167</xdr:row>
      <xdr:rowOff>175577</xdr:rowOff>
    </xdr:from>
    <xdr:to>
      <xdr:col>14</xdr:col>
      <xdr:colOff>405962</xdr:colOff>
      <xdr:row>192</xdr:row>
      <xdr:rowOff>69152</xdr:rowOff>
    </xdr:to>
    <xdr:pic>
      <xdr:nvPicPr>
        <xdr:cNvPr id="2" name="Picture 1">
          <a:extLst>
            <a:ext uri="{FF2B5EF4-FFF2-40B4-BE49-F238E27FC236}">
              <a16:creationId xmlns:a16="http://schemas.microsoft.com/office/drawing/2014/main" id="{83C4B699-8906-43D9-8637-BDB3D64031DD}"/>
            </a:ext>
          </a:extLst>
        </xdr:cNvPr>
        <xdr:cNvPicPr>
          <a:picLocks noChangeAspect="1"/>
        </xdr:cNvPicPr>
      </xdr:nvPicPr>
      <xdr:blipFill>
        <a:blip xmlns:r="http://schemas.openxmlformats.org/officeDocument/2006/relationships" r:embed="rId1"/>
        <a:stretch>
          <a:fillRect/>
        </a:stretch>
      </xdr:blipFill>
      <xdr:spPr>
        <a:xfrm>
          <a:off x="10640103" y="3730028"/>
          <a:ext cx="7758816" cy="45399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5</xdr:col>
      <xdr:colOff>619126</xdr:colOff>
      <xdr:row>0</xdr:row>
      <xdr:rowOff>0</xdr:rowOff>
    </xdr:from>
    <xdr:ext cx="737680" cy="688908"/>
    <xdr:pic>
      <xdr:nvPicPr>
        <xdr:cNvPr id="3" name="Picture 2">
          <a:extLst>
            <a:ext uri="{FF2B5EF4-FFF2-40B4-BE49-F238E27FC236}">
              <a16:creationId xmlns:a16="http://schemas.microsoft.com/office/drawing/2014/main" id="{1CE7DED9-CB9B-4B08-AECE-1F7E98B0435B}"/>
            </a:ext>
          </a:extLst>
        </xdr:cNvPr>
        <xdr:cNvPicPr>
          <a:picLocks noChangeAspect="1"/>
        </xdr:cNvPicPr>
      </xdr:nvPicPr>
      <xdr:blipFill>
        <a:blip xmlns:r="http://schemas.openxmlformats.org/officeDocument/2006/relationships" r:embed="rId1"/>
        <a:stretch>
          <a:fillRect/>
        </a:stretch>
      </xdr:blipFill>
      <xdr:spPr>
        <a:xfrm>
          <a:off x="11096626" y="0"/>
          <a:ext cx="737680" cy="68890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2025/Franchise%20Sales%208.31.26%20-%209.06.26.xlsx" TargetMode="External"/><Relationship Id="rId1" Type="http://schemas.openxmlformats.org/officeDocument/2006/relationships/externalLinkPath" Target="/Shared/Accounting/Accounts%20Receivable/Franchise%20Accounting/Weekly%20Billing/Franchise%20Sales/2025/Franchise%20Sales%208.31.26%20-%209.06.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au Data"/>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Erin Coleman" id="{FD5AD3B5-BBD1-4745-9869-A59EB9350789}" userId="S::erin.coleman@modpizza.com::676cc841-711c-4a19-a1c7-38cc9ed4e7b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ten Dixon" refreshedDate="46274.358184722223" createdVersion="6" refreshedVersion="8" minRefreshableVersion="3" recordCount="586" xr:uid="{00000000-000A-0000-FFFF-FFFF45000000}">
  <cacheSource type="worksheet">
    <worksheetSource name="Table11"/>
  </cacheSource>
  <cacheFields count="12">
    <cacheField name="Date" numFmtId="14">
      <sharedItems containsSemiMixedTypes="0" containsNonDate="0" containsDate="1" containsString="0" minDate="2026-08-24T00:00:00" maxDate="2026-09-07T00:00:00"/>
    </cacheField>
    <cacheField name="Sum of MOD #" numFmtId="0">
      <sharedItems containsSemiMixedTypes="0" containsString="0" containsNumber="1" containsInteger="1" minValue="21" maxValue="820"/>
    </cacheField>
    <cacheField name="Store" numFmtId="0">
      <sharedItems/>
    </cacheField>
    <cacheField name="Column1" numFmtId="43">
      <sharedItems containsSemiMixedTypes="0" containsString="0" containsNumber="1" minValue="87.27" maxValue="7495.09"/>
    </cacheField>
    <cacheField name="Column2" numFmtId="43">
      <sharedItems containsSemiMixedTypes="0" containsString="0" containsNumber="1" minValue="87.27" maxValue="6773.82"/>
    </cacheField>
    <cacheField name="Location" numFmtId="43">
      <sharedItems containsBlank="1" count="139">
        <s v="Park Meadows"/>
        <s v="REDDING"/>
        <s v="ROCKLIN"/>
        <s v="LIVONIA"/>
        <s v="Falcon Landing"/>
        <s v="Brighton"/>
        <s v="Castle Rock"/>
        <s v="Howe Bout Arden"/>
        <s v="Bend"/>
        <s v="Woodhill"/>
        <s v="Westwood Plaza"/>
        <s v="Hamburg #6"/>
        <s v="McCaslin Marketplace"/>
        <s v="North Charleston"/>
        <s v="Chico"/>
        <s v="Forest Trace"/>
        <s v="Centre Avenue"/>
        <s v="Oakway"/>
        <s v="North Medford"/>
        <s v="South Eugene"/>
        <s v="Woodland"/>
        <s v="NE Columbia"/>
        <s v="Auburn Village"/>
        <s v="Kennesaw"/>
        <s v="Woods Cross"/>
        <s v="Redfield Promenade"/>
        <s v="Evansville #11"/>
        <s v="Westminster Promenade"/>
        <s v="Park City"/>
        <s v="S Academy Highlands"/>
        <s v="Riverdale"/>
        <s v="Highlands Ranch"/>
        <s v="Dublin Commons"/>
        <s v="Decatur"/>
        <s v="Northfield Commons"/>
        <s v="Diamond Circle"/>
        <s v="Lexington"/>
        <s v="Polaris Pointe"/>
        <s v="Greeley"/>
        <s v="West Sacramento"/>
        <s v="Rancho Cordova"/>
        <s v="American Fork"/>
        <s v="Sugar House"/>
        <s v="Riverton"/>
        <s v="Layton"/>
        <s v="Augusta Exchange"/>
        <s v="Bend North"/>
        <s v="South Medford"/>
        <s v="Georgetown"/>
        <s v="Saratoga Springs"/>
        <s v="Ralston Creek"/>
        <s v="Madison"/>
        <s v="Fort Union"/>
        <s v="Crown Point"/>
        <s v="South Jordan"/>
        <s v="Grants Pass"/>
        <s v="Mobile"/>
        <s v="Pocatello"/>
        <s v="Spanish Fork"/>
        <s v="Downtown Boise"/>
        <s v="Boise Town Square"/>
        <s v="Johnstown"/>
        <s v="Campus Oaks"/>
        <s v="Tower"/>
        <s v="Sheridan Parkway"/>
        <s v="Eureka"/>
        <s v="Lowry"/>
        <s v="Belmont Market"/>
        <s v="Ammon"/>
        <s v="Grand Junction"/>
        <s v="Country Club Centre"/>
        <s v="Creekwalk"/>
        <s v="Naval Air Station Norfolk"/>
        <s v="Roseburg"/>
        <s v="Springfield-Oregon"/>
        <s v="Churn Creek"/>
        <e v="#N/A" u="1"/>
        <s v="Owensboro #8" u="1"/>
        <s v="Troy" u="1"/>
        <s v="Dawsonville" u="1"/>
        <s v="North Myrtle Beach" u="1"/>
        <s v="Carolina Forest" u="1"/>
        <s v="South Myrtle Beach" u="1"/>
        <s v="Tates Creek #7" u="1"/>
        <m u="1"/>
        <s v="West Chester #3" u="1"/>
        <s v="Northville" u="1"/>
        <s v="Kalamazoo" u="1"/>
        <s v="Rochester Hills" u="1"/>
        <s v="Canton" u="1"/>
        <s v="Blue Springs" u="1"/>
        <s v="Lenexa" u="1"/>
        <s v="Liberty Triangle" u="1"/>
        <s v="Alpine" u="1"/>
        <s v="Gahanna" u="1"/>
        <s v="Olathe" u="1"/>
        <s v="Pickerington" u="1"/>
        <s v="Lancaster" u="1"/>
        <s v="Raymore" u="1"/>
        <s v="Antioch Crossing" u="1"/>
        <s v="Terre Haute" u="1"/>
        <s v="Woodhaven" u="1"/>
        <s v="Sawmill Road" u="1"/>
        <s v="Lee's Summit" u="1"/>
        <s v="Cumming" u="1"/>
        <s v="Hall Road" u="1"/>
        <s v="Oakley #2" u="1"/>
        <s v="Royal Oak" u="1"/>
        <s v="Sandy Springs" u="1"/>
        <s v="Morse Road" u="1"/>
        <s v="Sandy Plains" u="1"/>
        <s v="Buford" u="1"/>
        <s v="Grand Rapids" u="1"/>
        <s v="Chamblee" u="1"/>
        <s v="Englewood #5" u="1"/>
        <s v="Strawberry Hill" u="1"/>
        <s v="Berewick" u="1"/>
        <s v="26 &amp; Van Dyke" u="1"/>
        <s v="Indian Trail" u="1"/>
        <s v="Keystone" u="1"/>
        <s v="Millbrook Road" u="1"/>
        <s v="Rivergate" u="1"/>
        <s v="Bartram Village" u="1"/>
        <s v="Wake Forest" u="1"/>
        <s v="Northwestern University" u="1"/>
        <s v="Ballantyne" u="1"/>
        <s v="Ironwood Shops" u="1"/>
        <s v="DTW Airport" u="1"/>
        <s v="Asheville" u="1"/>
        <s v="Hikes Point #1" u="1"/>
        <s v="Amberly Place" u="1"/>
        <s v="Polaris" u="1"/>
        <s v="Ogden Marketplace" u="1"/>
        <s v="Waverly" u="1"/>
        <s v="Matthews" u="1"/>
        <s v="Mooresville" u="1"/>
        <s v="Chesterfield Township" u="1"/>
        <s v="Cherry Grove #10" u="1"/>
        <s v="Fayetteville" u="1"/>
      </sharedItems>
    </cacheField>
    <cacheField name="Franchisee" numFmtId="0">
      <sharedItems containsBlank="1" count="40">
        <s v="Best Pizza LLC"/>
        <s v="Exceed Group REDDING"/>
        <s v="Exceed Group ROCKLIN"/>
        <s v="TSFR Pizza LLC"/>
        <s v="Exceed Group Howe Bout Arden"/>
        <s v="SSR Holdings LLC"/>
        <s v="Rolling Dough LLC"/>
        <s v="Cool Dough Development, LLC"/>
        <s v="Exceed Group Chico"/>
        <s v="Exceed Group Woodland"/>
        <s v="Exceed Group Auburn Village"/>
        <s v="Southern Pie LLC"/>
        <s v="Exceed Group Redfield Promenade"/>
        <s v="DAZ9"/>
        <s v="Exceed Group West Sacramento"/>
        <s v="Exceed Group Rancho Cordova"/>
        <s v="APizza Delight Inc"/>
        <s v="MAA MELDI 3980 Inc"/>
        <s v="Exceed Group Campus Oaks"/>
        <s v="Exceed Group Eureka"/>
        <s v="V.I. Pizza Belmont"/>
        <s v="V.I. Pizza Country Club"/>
        <s v="IDAD-5 Inc"/>
        <s v="Exceed Group Churn Creek"/>
        <e v="#N/A" u="1"/>
        <s v="MAA MELDI 2502 Inc" u="1"/>
        <s v="Bikram" u="1"/>
        <m u="1"/>
        <s v=" MAA MELDI 3980 Inc" u="1"/>
        <s v="SFP DEVELOPMENT COMPANY, LLC" u="1"/>
        <s v="Paceline Partners, LLC (KS/MO)" u="1"/>
        <s v="SFP Redding 2, LLC" u="1"/>
        <s v="One Enterprise Group LLC" u="1"/>
        <s v="Paceline Partners, LLC (OH)" u="1"/>
        <s v="DTW North Partners LLC" u="1"/>
        <s v="Compass Group USA, Inc." u="1"/>
        <s v="V.I. Pizza" u="1"/>
        <s v="Food for Thought Restaurant Group LLC" u="1"/>
        <s v="Paceline Partners, LLC" u="1"/>
        <s v="RTHT Investments LLC" u="1"/>
      </sharedItems>
    </cacheField>
    <cacheField name="Principal Name" numFmtId="0">
      <sharedItems containsBlank="1" count="21">
        <s v="Merullo"/>
        <s v="Chawla"/>
        <s v="Schostak"/>
        <s v="Bikram"/>
        <s v="Connolly"/>
        <s v="Denning"/>
        <s v="Hill/Hayden"/>
        <s v="Neal Patel"/>
        <s v="Patel"/>
        <s v="Hayden"/>
        <s v="Ingenito"/>
        <s v="Darshana Somaiya" u="1"/>
        <e v="#N/A" u="1"/>
        <m u="1"/>
        <s v="Sanders" u="1"/>
        <s v="Womack" u="1"/>
        <s v="Bozeman" u="1"/>
        <s v="Compass/Chartwells" u="1"/>
        <s v="HBF" u="1"/>
        <s v="Goldman" u="1"/>
        <s v="Levan (BBX Capital)" u="1"/>
      </sharedItems>
    </cacheField>
    <cacheField name="Marketing Fee" numFmtId="43">
      <sharedItems containsSemiMixedTypes="0" containsString="0" containsNumber="1" minValue="0.44" maxValue="135.47999999999999"/>
    </cacheField>
    <cacheField name="Royalty Rate" numFmtId="164">
      <sharedItems containsSemiMixedTypes="0" containsString="0" containsNumber="1" minValue="0.01" maxValue="0.05"/>
    </cacheField>
    <cacheField name="Royalty Fee" numFmtId="43">
      <sharedItems containsSemiMixedTypes="0" containsString="0" containsNumber="1" minValue="1.75" maxValue="338.69"/>
    </cacheField>
    <cacheField name="Total" numFmtId="43">
      <sharedItems containsSemiMixedTypes="0" containsString="0" containsNumber="1" minValue="2.19" maxValue="474.16999999999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6">
  <r>
    <d v="2026-09-06T00:00:00"/>
    <n v="21"/>
    <s v="Park Meadows"/>
    <n v="3283.05"/>
    <n v="3113.23"/>
    <x v="0"/>
    <x v="0"/>
    <x v="0"/>
    <n v="62.26"/>
    <n v="0.05"/>
    <n v="155.66"/>
    <n v="217.92"/>
  </r>
  <r>
    <d v="2026-09-06T00:00:00"/>
    <n v="47"/>
    <s v="Redding"/>
    <n v="5116.92"/>
    <n v="4816.47"/>
    <x v="1"/>
    <x v="1"/>
    <x v="1"/>
    <n v="96.33"/>
    <n v="0.05"/>
    <n v="240.82"/>
    <n v="337.15"/>
  </r>
  <r>
    <d v="2026-09-06T00:00:00"/>
    <n v="55"/>
    <s v="Rocklin"/>
    <n v="3552.05"/>
    <n v="3144.19"/>
    <x v="2"/>
    <x v="2"/>
    <x v="1"/>
    <n v="62.88"/>
    <n v="0.05"/>
    <n v="157.21"/>
    <n v="220.09"/>
  </r>
  <r>
    <d v="2026-09-06T00:00:00"/>
    <n v="56"/>
    <s v="Livonia"/>
    <n v="2880.02"/>
    <n v="2726.86"/>
    <x v="3"/>
    <x v="3"/>
    <x v="2"/>
    <n v="54.54"/>
    <n v="0.05"/>
    <n v="136.34"/>
    <n v="190.88"/>
  </r>
  <r>
    <d v="2026-09-06T00:00:00"/>
    <n v="77"/>
    <s v="Falcon Landing"/>
    <n v="3632.62"/>
    <n v="3442.4"/>
    <x v="4"/>
    <x v="0"/>
    <x v="0"/>
    <n v="68.849999999999994"/>
    <n v="0.05"/>
    <n v="172.12"/>
    <n v="240.97"/>
  </r>
  <r>
    <d v="2026-09-06T00:00:00"/>
    <n v="93"/>
    <s v="Brighton"/>
    <n v="2888.65"/>
    <n v="2752.57"/>
    <x v="5"/>
    <x v="3"/>
    <x v="2"/>
    <n v="55.05"/>
    <n v="0.05"/>
    <n v="137.63"/>
    <n v="192.68"/>
  </r>
  <r>
    <d v="2026-09-06T00:00:00"/>
    <n v="94"/>
    <s v="Castle Rock"/>
    <n v="5324.11"/>
    <n v="5025.38"/>
    <x v="6"/>
    <x v="0"/>
    <x v="0"/>
    <n v="100.51"/>
    <n v="0.05"/>
    <n v="251.27"/>
    <n v="351.78000000000003"/>
  </r>
  <r>
    <d v="2026-09-06T00:00:00"/>
    <n v="100"/>
    <s v="Howe Bout Arden"/>
    <n v="5082.8500000000004"/>
    <n v="4745.4799999999996"/>
    <x v="7"/>
    <x v="4"/>
    <x v="1"/>
    <n v="94.91"/>
    <n v="0.05"/>
    <n v="237.27"/>
    <n v="332.18"/>
  </r>
  <r>
    <d v="2026-09-06T00:00:00"/>
    <n v="126"/>
    <s v="Bend"/>
    <n v="3182.31"/>
    <n v="2931.76"/>
    <x v="8"/>
    <x v="5"/>
    <x v="3"/>
    <n v="58.64"/>
    <n v="0.01"/>
    <n v="29.32"/>
    <n v="87.960000000000008"/>
  </r>
  <r>
    <d v="2026-09-06T00:00:00"/>
    <n v="133"/>
    <s v="Woodhill"/>
    <n v="3183.93"/>
    <n v="3013.15"/>
    <x v="9"/>
    <x v="6"/>
    <x v="4"/>
    <n v="60.26"/>
    <n v="0.05"/>
    <n v="150.66"/>
    <n v="210.92"/>
  </r>
  <r>
    <d v="2026-09-06T00:00:00"/>
    <n v="149"/>
    <s v="Westwood Plaza"/>
    <n v="3048.46"/>
    <n v="2802.61"/>
    <x v="10"/>
    <x v="6"/>
    <x v="4"/>
    <n v="56.05"/>
    <n v="0.05"/>
    <n v="140.13"/>
    <n v="196.18"/>
  </r>
  <r>
    <d v="2026-09-06T00:00:00"/>
    <n v="157"/>
    <s v="Hamburg"/>
    <n v="3925.65"/>
    <n v="3795"/>
    <x v="11"/>
    <x v="7"/>
    <x v="5"/>
    <n v="75.900000000000006"/>
    <n v="0.05"/>
    <n v="189.75"/>
    <n v="265.64999999999998"/>
  </r>
  <r>
    <d v="2026-09-06T00:00:00"/>
    <n v="158"/>
    <s v="McCaslin Marketplace"/>
    <n v="3471.46"/>
    <n v="3287.16"/>
    <x v="12"/>
    <x v="0"/>
    <x v="0"/>
    <n v="65.739999999999995"/>
    <n v="0.05"/>
    <n v="164.36"/>
    <n v="230.10000000000002"/>
  </r>
  <r>
    <d v="2026-09-06T00:00:00"/>
    <n v="159"/>
    <s v="North Charleston"/>
    <n v="2076.13"/>
    <n v="1861.01"/>
    <x v="13"/>
    <x v="6"/>
    <x v="4"/>
    <n v="37.22"/>
    <n v="0.05"/>
    <n v="93.05"/>
    <n v="130.26999999999998"/>
  </r>
  <r>
    <d v="2026-09-06T00:00:00"/>
    <n v="161"/>
    <s v="Chico"/>
    <n v="4851.83"/>
    <n v="4503.28"/>
    <x v="14"/>
    <x v="8"/>
    <x v="1"/>
    <n v="90.07"/>
    <n v="0.05"/>
    <n v="225.16"/>
    <n v="315.23"/>
  </r>
  <r>
    <d v="2026-09-06T00:00:00"/>
    <n v="163"/>
    <s v="Forest Trace"/>
    <n v="4862.07"/>
    <n v="4406.8"/>
    <x v="15"/>
    <x v="0"/>
    <x v="0"/>
    <n v="88.14"/>
    <n v="0.05"/>
    <n v="220.34"/>
    <n v="308.48"/>
  </r>
  <r>
    <d v="2026-09-06T00:00:00"/>
    <n v="166"/>
    <s v="Centre Avenue"/>
    <n v="3286.23"/>
    <n v="3005.73"/>
    <x v="16"/>
    <x v="0"/>
    <x v="0"/>
    <n v="60.11"/>
    <n v="0.05"/>
    <n v="150.29"/>
    <n v="210.39999999999998"/>
  </r>
  <r>
    <d v="2026-09-06T00:00:00"/>
    <n v="172"/>
    <s v="Oakway"/>
    <n v="3945.29"/>
    <n v="3768.29"/>
    <x v="17"/>
    <x v="5"/>
    <x v="3"/>
    <n v="75.37"/>
    <n v="0.01"/>
    <n v="37.68"/>
    <n v="113.05000000000001"/>
  </r>
  <r>
    <d v="2026-09-06T00:00:00"/>
    <n v="204"/>
    <s v="North Medford"/>
    <n v="4109.29"/>
    <n v="3814.91"/>
    <x v="18"/>
    <x v="5"/>
    <x v="3"/>
    <n v="76.3"/>
    <n v="0.01"/>
    <n v="38.15"/>
    <n v="114.44999999999999"/>
  </r>
  <r>
    <d v="2026-09-06T00:00:00"/>
    <n v="210"/>
    <s v="South Eugene"/>
    <n v="1725.65"/>
    <n v="1610.15"/>
    <x v="19"/>
    <x v="5"/>
    <x v="3"/>
    <n v="32.200000000000003"/>
    <n v="0.01"/>
    <n v="16.100000000000001"/>
    <n v="48.300000000000004"/>
  </r>
  <r>
    <d v="2026-09-06T00:00:00"/>
    <n v="212"/>
    <s v="Woodland"/>
    <n v="2867.67"/>
    <n v="2719.34"/>
    <x v="20"/>
    <x v="9"/>
    <x v="1"/>
    <n v="54.39"/>
    <n v="0.05"/>
    <n v="135.97"/>
    <n v="190.36"/>
  </r>
  <r>
    <d v="2026-09-06T00:00:00"/>
    <n v="216"/>
    <s v="NE Columbia"/>
    <n v="3063.41"/>
    <n v="2860.92"/>
    <x v="21"/>
    <x v="6"/>
    <x v="4"/>
    <n v="57.22"/>
    <n v="0.05"/>
    <n v="143.05000000000001"/>
    <n v="200.27"/>
  </r>
  <r>
    <d v="2026-09-06T00:00:00"/>
    <n v="228"/>
    <s v="Auburn Village"/>
    <n v="1566.48"/>
    <n v="1529.92"/>
    <x v="22"/>
    <x v="10"/>
    <x v="1"/>
    <n v="30.6"/>
    <n v="0.05"/>
    <n v="76.5"/>
    <n v="107.1"/>
  </r>
  <r>
    <d v="2026-09-06T00:00:00"/>
    <n v="231"/>
    <s v="Kennesaw"/>
    <n v="2835.07"/>
    <n v="2806.01"/>
    <x v="23"/>
    <x v="11"/>
    <x v="6"/>
    <n v="56.12"/>
    <n v="0.05"/>
    <n v="140.30000000000001"/>
    <n v="196.42000000000002"/>
  </r>
  <r>
    <d v="2026-09-06T00:00:00"/>
    <n v="241"/>
    <s v="Woods Cross"/>
    <n v="1614.5"/>
    <n v="1528.58"/>
    <x v="24"/>
    <x v="5"/>
    <x v="3"/>
    <n v="30.57"/>
    <n v="0.01"/>
    <n v="15.29"/>
    <n v="45.86"/>
  </r>
  <r>
    <d v="2026-09-06T00:00:00"/>
    <n v="244"/>
    <s v="Redfield Promenade"/>
    <n v="1766.83"/>
    <n v="1659.11"/>
    <x v="25"/>
    <x v="12"/>
    <x v="1"/>
    <n v="33.18"/>
    <n v="0.05"/>
    <n v="82.96"/>
    <n v="116.13999999999999"/>
  </r>
  <r>
    <d v="2026-09-06T00:00:00"/>
    <n v="245"/>
    <s v="Evansville"/>
    <n v="2067.91"/>
    <n v="1916.14"/>
    <x v="26"/>
    <x v="7"/>
    <x v="5"/>
    <n v="38.32"/>
    <n v="0.05"/>
    <n v="95.81"/>
    <n v="134.13"/>
  </r>
  <r>
    <d v="2026-09-06T00:00:00"/>
    <n v="251"/>
    <s v="Westminster Promenade"/>
    <n v="5628.68"/>
    <n v="5230.79"/>
    <x v="27"/>
    <x v="0"/>
    <x v="0"/>
    <n v="104.62"/>
    <n v="0.05"/>
    <n v="261.54000000000002"/>
    <n v="366.16"/>
  </r>
  <r>
    <d v="2026-09-06T00:00:00"/>
    <n v="253"/>
    <s v="Park City"/>
    <n v="3464.27"/>
    <n v="3364.79"/>
    <x v="28"/>
    <x v="5"/>
    <x v="3"/>
    <n v="67.3"/>
    <n v="0.01"/>
    <n v="33.65"/>
    <n v="100.94999999999999"/>
  </r>
  <r>
    <d v="2026-09-06T00:00:00"/>
    <n v="256"/>
    <s v="South Academy Highlands"/>
    <n v="4622.47"/>
    <n v="4233.91"/>
    <x v="29"/>
    <x v="0"/>
    <x v="0"/>
    <n v="84.68"/>
    <n v="0.05"/>
    <n v="211.7"/>
    <n v="296.38"/>
  </r>
  <r>
    <d v="2026-09-06T00:00:00"/>
    <n v="258"/>
    <s v="Riverdale"/>
    <n v="1728.48"/>
    <n v="1691.12"/>
    <x v="30"/>
    <x v="5"/>
    <x v="3"/>
    <n v="33.82"/>
    <n v="0.01"/>
    <n v="16.91"/>
    <n v="50.730000000000004"/>
  </r>
  <r>
    <d v="2026-09-06T00:00:00"/>
    <n v="260"/>
    <s v="Highlands Ranch"/>
    <n v="4864.92"/>
    <n v="4382.91"/>
    <x v="31"/>
    <x v="0"/>
    <x v="0"/>
    <n v="87.66"/>
    <n v="0.05"/>
    <n v="219.15"/>
    <n v="306.81"/>
  </r>
  <r>
    <d v="2026-09-06T00:00:00"/>
    <n v="265"/>
    <s v="Dublin Commons"/>
    <n v="7495.09"/>
    <n v="6707.49"/>
    <x v="32"/>
    <x v="0"/>
    <x v="0"/>
    <n v="134.15"/>
    <n v="0.05"/>
    <n v="335.37"/>
    <n v="469.52"/>
  </r>
  <r>
    <d v="2026-09-06T00:00:00"/>
    <n v="267"/>
    <s v="Decatur"/>
    <n v="1824.76"/>
    <n v="1793.73"/>
    <x v="33"/>
    <x v="13"/>
    <x v="7"/>
    <n v="35.869999999999997"/>
    <n v="0.01"/>
    <n v="17.940000000000001"/>
    <n v="53.81"/>
  </r>
  <r>
    <d v="2026-09-06T00:00:00"/>
    <n v="272"/>
    <s v="Northfield Commons"/>
    <n v="3210.59"/>
    <n v="2936.9"/>
    <x v="34"/>
    <x v="0"/>
    <x v="0"/>
    <n v="58.74"/>
    <n v="0.05"/>
    <n v="146.85"/>
    <n v="205.59"/>
  </r>
  <r>
    <d v="2026-09-06T00:00:00"/>
    <n v="278"/>
    <s v="Diamond Circle"/>
    <n v="2071.23"/>
    <n v="1804.03"/>
    <x v="35"/>
    <x v="0"/>
    <x v="0"/>
    <n v="36.08"/>
    <n v="0.05"/>
    <n v="90.2"/>
    <n v="126.28"/>
  </r>
  <r>
    <d v="2026-09-06T00:00:00"/>
    <n v="279"/>
    <s v="Lexington"/>
    <n v="3635.15"/>
    <n v="3266.27"/>
    <x v="36"/>
    <x v="6"/>
    <x v="4"/>
    <n v="65.33"/>
    <n v="0.05"/>
    <n v="163.31"/>
    <n v="228.64"/>
  </r>
  <r>
    <d v="2026-09-06T00:00:00"/>
    <n v="285"/>
    <s v="Polaris Pointe"/>
    <n v="4647.67"/>
    <n v="4247.37"/>
    <x v="37"/>
    <x v="0"/>
    <x v="0"/>
    <n v="84.95"/>
    <n v="0.05"/>
    <n v="212.37"/>
    <n v="297.32"/>
  </r>
  <r>
    <d v="2026-09-06T00:00:00"/>
    <n v="292"/>
    <s v="Greeley"/>
    <n v="4226.01"/>
    <n v="3752.02"/>
    <x v="38"/>
    <x v="0"/>
    <x v="0"/>
    <n v="75.040000000000006"/>
    <n v="0.05"/>
    <n v="187.6"/>
    <n v="262.64"/>
  </r>
  <r>
    <d v="2026-09-06T00:00:00"/>
    <n v="293"/>
    <s v="West Sacramento"/>
    <n v="2025.18"/>
    <n v="1889.76"/>
    <x v="39"/>
    <x v="14"/>
    <x v="1"/>
    <n v="37.799999999999997"/>
    <n v="0.05"/>
    <n v="94.49"/>
    <n v="132.29"/>
  </r>
  <r>
    <d v="2026-09-06T00:00:00"/>
    <n v="296"/>
    <s v="Rancho Cordova"/>
    <n v="2216.89"/>
    <n v="2069.42"/>
    <x v="40"/>
    <x v="15"/>
    <x v="1"/>
    <n v="41.39"/>
    <n v="0.05"/>
    <n v="103.47"/>
    <n v="144.86000000000001"/>
  </r>
  <r>
    <d v="2026-09-06T00:00:00"/>
    <n v="324"/>
    <s v="American Fork"/>
    <n v="1933.9"/>
    <n v="1844.69"/>
    <x v="41"/>
    <x v="5"/>
    <x v="3"/>
    <n v="36.89"/>
    <n v="0.01"/>
    <n v="18.45"/>
    <n v="55.34"/>
  </r>
  <r>
    <d v="2026-09-06T00:00:00"/>
    <n v="325"/>
    <s v="Sugar House"/>
    <n v="2689.85"/>
    <n v="2572.9"/>
    <x v="42"/>
    <x v="5"/>
    <x v="3"/>
    <n v="51.46"/>
    <n v="0.01"/>
    <n v="25.73"/>
    <n v="77.19"/>
  </r>
  <r>
    <d v="2026-09-06T00:00:00"/>
    <n v="332"/>
    <s v="Riverton"/>
    <n v="1936.32"/>
    <n v="1730.59"/>
    <x v="43"/>
    <x v="5"/>
    <x v="3"/>
    <n v="34.61"/>
    <n v="0.01"/>
    <n v="17.309999999999999"/>
    <n v="51.92"/>
  </r>
  <r>
    <d v="2026-09-06T00:00:00"/>
    <n v="334"/>
    <s v="Layton"/>
    <n v="1534.17"/>
    <n v="1402.07"/>
    <x v="44"/>
    <x v="5"/>
    <x v="3"/>
    <n v="28.04"/>
    <n v="0.01"/>
    <n v="14.02"/>
    <n v="42.06"/>
  </r>
  <r>
    <d v="2026-09-06T00:00:00"/>
    <n v="338"/>
    <s v="Augusta Exchange"/>
    <n v="2573.6999999999998"/>
    <n v="2311.4"/>
    <x v="45"/>
    <x v="6"/>
    <x v="4"/>
    <n v="46.23"/>
    <n v="0.05"/>
    <n v="115.57"/>
    <n v="161.79999999999998"/>
  </r>
  <r>
    <d v="2026-09-06T00:00:00"/>
    <n v="348"/>
    <s v="Bend North"/>
    <n v="5195.4799999999996"/>
    <n v="4155.05"/>
    <x v="46"/>
    <x v="5"/>
    <x v="3"/>
    <n v="83.1"/>
    <n v="0.01"/>
    <n v="41.55"/>
    <n v="124.64999999999999"/>
  </r>
  <r>
    <d v="2026-09-06T00:00:00"/>
    <n v="349"/>
    <s v="South Medford"/>
    <n v="2726.9"/>
    <n v="2612.4299999999998"/>
    <x v="47"/>
    <x v="5"/>
    <x v="3"/>
    <n v="52.25"/>
    <n v="0.01"/>
    <n v="26.12"/>
    <n v="78.37"/>
  </r>
  <r>
    <d v="2026-09-06T00:00:00"/>
    <n v="352"/>
    <s v="Georgetown"/>
    <n v="1998.44"/>
    <n v="1671.34"/>
    <x v="48"/>
    <x v="7"/>
    <x v="5"/>
    <n v="33.43"/>
    <n v="0.05"/>
    <n v="83.57"/>
    <n v="117"/>
  </r>
  <r>
    <d v="2026-09-06T00:00:00"/>
    <n v="366"/>
    <s v="Saratoga Springs"/>
    <n v="2312.89"/>
    <n v="2107.64"/>
    <x v="49"/>
    <x v="5"/>
    <x v="3"/>
    <n v="42.15"/>
    <n v="0.01"/>
    <n v="21.08"/>
    <n v="63.23"/>
  </r>
  <r>
    <d v="2026-09-06T00:00:00"/>
    <n v="384"/>
    <s v="Ralston Creek"/>
    <n v="3785.93"/>
    <n v="3592.04"/>
    <x v="50"/>
    <x v="0"/>
    <x v="0"/>
    <n v="71.84"/>
    <n v="0.05"/>
    <n v="179.6"/>
    <n v="251.44"/>
  </r>
  <r>
    <d v="2026-09-06T00:00:00"/>
    <n v="413"/>
    <s v="Madison"/>
    <n v="2229.0500000000002"/>
    <n v="2075.44"/>
    <x v="51"/>
    <x v="16"/>
    <x v="8"/>
    <n v="41.51"/>
    <n v="0.01"/>
    <n v="20.75"/>
    <n v="62.26"/>
  </r>
  <r>
    <d v="2026-09-06T00:00:00"/>
    <n v="421"/>
    <s v="Fort Union"/>
    <n v="2182.4899999999998"/>
    <n v="2039.57"/>
    <x v="52"/>
    <x v="5"/>
    <x v="3"/>
    <n v="40.79"/>
    <n v="0.01"/>
    <n v="20.399999999999999"/>
    <n v="61.19"/>
  </r>
  <r>
    <d v="2026-09-06T00:00:00"/>
    <n v="425"/>
    <s v="Crown Point"/>
    <n v="4121.71"/>
    <n v="3753.72"/>
    <x v="53"/>
    <x v="0"/>
    <x v="0"/>
    <n v="75.069999999999993"/>
    <n v="0.05"/>
    <n v="187.69"/>
    <n v="262.76"/>
  </r>
  <r>
    <d v="2026-09-06T00:00:00"/>
    <n v="429"/>
    <s v="South Jordan"/>
    <n v="2279.87"/>
    <n v="2058.8000000000002"/>
    <x v="54"/>
    <x v="5"/>
    <x v="3"/>
    <n v="41.18"/>
    <n v="0.01"/>
    <n v="20.59"/>
    <n v="61.769999999999996"/>
  </r>
  <r>
    <d v="2026-09-06T00:00:00"/>
    <n v="433"/>
    <s v="Grants Pass"/>
    <n v="3098.4"/>
    <n v="2817.17"/>
    <x v="55"/>
    <x v="5"/>
    <x v="3"/>
    <n v="56.34"/>
    <n v="0.01"/>
    <n v="28.17"/>
    <n v="84.51"/>
  </r>
  <r>
    <d v="2026-09-06T00:00:00"/>
    <n v="452"/>
    <s v="Mobile"/>
    <n v="1247.31"/>
    <n v="1203.3499999999999"/>
    <x v="56"/>
    <x v="17"/>
    <x v="7"/>
    <n v="24.07"/>
    <n v="0.01"/>
    <n v="12.03"/>
    <n v="36.1"/>
  </r>
  <r>
    <d v="2026-09-06T00:00:00"/>
    <n v="478"/>
    <s v="Pocatello"/>
    <n v="1153.8399999999999"/>
    <n v="1065.77"/>
    <x v="57"/>
    <x v="5"/>
    <x v="3"/>
    <n v="21.32"/>
    <n v="0.01"/>
    <n v="10.66"/>
    <n v="31.98"/>
  </r>
  <r>
    <d v="2026-09-06T00:00:00"/>
    <n v="514"/>
    <s v="Spanish Fork"/>
    <n v="1646.33"/>
    <n v="1497.85"/>
    <x v="58"/>
    <x v="5"/>
    <x v="3"/>
    <n v="29.96"/>
    <n v="0.01"/>
    <n v="14.98"/>
    <n v="44.94"/>
  </r>
  <r>
    <d v="2026-09-06T00:00:00"/>
    <n v="515"/>
    <s v="Downtown Boise"/>
    <n v="2292.6799999999998"/>
    <n v="2222.35"/>
    <x v="59"/>
    <x v="5"/>
    <x v="3"/>
    <n v="44.45"/>
    <n v="0.01"/>
    <n v="22.22"/>
    <n v="66.67"/>
  </r>
  <r>
    <d v="2026-09-06T00:00:00"/>
    <n v="521"/>
    <s v="Boise Town Square"/>
    <n v="2219.02"/>
    <n v="2090.27"/>
    <x v="60"/>
    <x v="5"/>
    <x v="3"/>
    <n v="41.81"/>
    <n v="0.01"/>
    <n v="20.9"/>
    <n v="62.71"/>
  </r>
  <r>
    <d v="2026-09-06T00:00:00"/>
    <n v="586"/>
    <s v="Johnstown"/>
    <n v="6192.03"/>
    <n v="5512.31"/>
    <x v="61"/>
    <x v="0"/>
    <x v="0"/>
    <n v="110.25"/>
    <n v="0.05"/>
    <n v="275.62"/>
    <n v="385.87"/>
  </r>
  <r>
    <d v="2026-09-06T00:00:00"/>
    <n v="605"/>
    <s v="Campus Oaks"/>
    <n v="3631.59"/>
    <n v="3180.69"/>
    <x v="62"/>
    <x v="18"/>
    <x v="1"/>
    <n v="63.61"/>
    <n v="0.05"/>
    <n v="159.03"/>
    <n v="222.64"/>
  </r>
  <r>
    <d v="2026-09-06T00:00:00"/>
    <n v="607"/>
    <s v="Tower"/>
    <n v="4799.95"/>
    <n v="4461.3100000000004"/>
    <x v="63"/>
    <x v="0"/>
    <x v="0"/>
    <n v="89.23"/>
    <n v="0.05"/>
    <n v="223.07"/>
    <n v="312.3"/>
  </r>
  <r>
    <d v="2026-09-06T00:00:00"/>
    <n v="608"/>
    <s v="Sheridan Parkway"/>
    <n v="3359.66"/>
    <n v="3076.5"/>
    <x v="64"/>
    <x v="0"/>
    <x v="0"/>
    <n v="61.53"/>
    <n v="0.05"/>
    <n v="153.83000000000001"/>
    <n v="215.36"/>
  </r>
  <r>
    <d v="2026-09-06T00:00:00"/>
    <n v="616"/>
    <s v="Eureka"/>
    <n v="3579.86"/>
    <n v="3402.94"/>
    <x v="65"/>
    <x v="19"/>
    <x v="1"/>
    <n v="68.06"/>
    <n v="0.05"/>
    <n v="170.15"/>
    <n v="238.21"/>
  </r>
  <r>
    <d v="2026-09-06T00:00:00"/>
    <n v="617"/>
    <s v="Lowry"/>
    <n v="2423.42"/>
    <n v="2265.9899999999998"/>
    <x v="66"/>
    <x v="0"/>
    <x v="0"/>
    <n v="45.32"/>
    <n v="0.05"/>
    <n v="113.3"/>
    <n v="158.62"/>
  </r>
  <r>
    <d v="2026-09-06T00:00:00"/>
    <n v="648"/>
    <s v="Belmont Market"/>
    <n v="2906.1"/>
    <n v="2650.31"/>
    <x v="67"/>
    <x v="20"/>
    <x v="9"/>
    <n v="26.5"/>
    <n v="0.02"/>
    <n v="53.01"/>
    <n v="79.509999999999991"/>
  </r>
  <r>
    <d v="2026-09-06T00:00:00"/>
    <n v="659"/>
    <s v="Ammon"/>
    <n v="1475.75"/>
    <n v="1407.9"/>
    <x v="68"/>
    <x v="5"/>
    <x v="3"/>
    <n v="28.16"/>
    <n v="0.01"/>
    <n v="14.08"/>
    <n v="42.24"/>
  </r>
  <r>
    <d v="2026-09-06T00:00:00"/>
    <n v="699"/>
    <s v="Grand Junction"/>
    <n v="2738.95"/>
    <n v="2562.1999999999998"/>
    <x v="69"/>
    <x v="0"/>
    <x v="0"/>
    <n v="51.24"/>
    <n v="0.05"/>
    <n v="128.11000000000001"/>
    <n v="179.35000000000002"/>
  </r>
  <r>
    <d v="2026-09-06T00:00:00"/>
    <n v="711"/>
    <s v="Country Club Centre"/>
    <n v="978.23"/>
    <n v="956.54"/>
    <x v="70"/>
    <x v="21"/>
    <x v="9"/>
    <n v="9.57"/>
    <n v="0.01"/>
    <n v="9.57"/>
    <n v="19.14"/>
  </r>
  <r>
    <d v="2026-09-06T00:00:00"/>
    <n v="722"/>
    <s v="Creekwalk"/>
    <n v="3381.16"/>
    <n v="3052.17"/>
    <x v="71"/>
    <x v="0"/>
    <x v="0"/>
    <n v="61.04"/>
    <n v="0.02"/>
    <n v="61.04"/>
    <n v="122.08"/>
  </r>
  <r>
    <d v="2026-09-06T00:00:00"/>
    <n v="731"/>
    <s v="Naval Air Station Norfolk"/>
    <n v="1066.1300000000001"/>
    <n v="1066.1300000000001"/>
    <x v="72"/>
    <x v="22"/>
    <x v="10"/>
    <n v="5.33"/>
    <n v="0.02"/>
    <n v="21.32"/>
    <n v="26.65"/>
  </r>
  <r>
    <d v="2026-09-06T00:00:00"/>
    <n v="761"/>
    <s v="Roseburg"/>
    <n v="1795.87"/>
    <n v="1716.43"/>
    <x v="73"/>
    <x v="5"/>
    <x v="3"/>
    <n v="34.33"/>
    <n v="0.01"/>
    <n v="17.16"/>
    <n v="51.489999999999995"/>
  </r>
  <r>
    <d v="2026-09-06T00:00:00"/>
    <n v="777"/>
    <s v="Springfield-Oregon"/>
    <n v="2095.15"/>
    <n v="1891.46"/>
    <x v="74"/>
    <x v="5"/>
    <x v="3"/>
    <n v="37.83"/>
    <n v="0.01"/>
    <n v="18.91"/>
    <n v="56.739999999999995"/>
  </r>
  <r>
    <d v="2026-09-06T00:00:00"/>
    <n v="820"/>
    <s v="Churn Creek"/>
    <n v="3881.46"/>
    <n v="3579.19"/>
    <x v="75"/>
    <x v="23"/>
    <x v="1"/>
    <n v="71.58"/>
    <n v="0.05"/>
    <n v="178.96"/>
    <n v="250.54000000000002"/>
  </r>
  <r>
    <d v="2026-09-05T00:00:00"/>
    <n v="21"/>
    <s v="Park Meadows"/>
    <n v="3882.04"/>
    <n v="3818.11"/>
    <x v="0"/>
    <x v="0"/>
    <x v="0"/>
    <n v="76.36"/>
    <n v="0.05"/>
    <n v="190.91"/>
    <n v="267.27"/>
  </r>
  <r>
    <d v="2026-09-05T00:00:00"/>
    <n v="47"/>
    <s v="Redding"/>
    <n v="5250.18"/>
    <n v="5070.3900000000003"/>
    <x v="1"/>
    <x v="1"/>
    <x v="1"/>
    <n v="101.41"/>
    <n v="0.05"/>
    <n v="253.52"/>
    <n v="354.93"/>
  </r>
  <r>
    <d v="2026-09-05T00:00:00"/>
    <n v="55"/>
    <s v="Rocklin"/>
    <n v="2852.78"/>
    <n v="2803.11"/>
    <x v="2"/>
    <x v="2"/>
    <x v="1"/>
    <n v="56.06"/>
    <n v="0.05"/>
    <n v="140.16"/>
    <n v="196.22"/>
  </r>
  <r>
    <d v="2026-09-05T00:00:00"/>
    <n v="56"/>
    <s v="Livonia"/>
    <n v="3261.01"/>
    <n v="3188.38"/>
    <x v="3"/>
    <x v="3"/>
    <x v="2"/>
    <n v="63.77"/>
    <n v="0.05"/>
    <n v="159.41999999999999"/>
    <n v="223.19"/>
  </r>
  <r>
    <d v="2026-09-05T00:00:00"/>
    <n v="77"/>
    <s v="Falcon Landing"/>
    <n v="2388.64"/>
    <n v="2360.86"/>
    <x v="4"/>
    <x v="0"/>
    <x v="0"/>
    <n v="47.22"/>
    <n v="0.05"/>
    <n v="118.04"/>
    <n v="165.26"/>
  </r>
  <r>
    <d v="2026-09-05T00:00:00"/>
    <n v="93"/>
    <s v="Brighton"/>
    <n v="3417.19"/>
    <n v="3320.05"/>
    <x v="5"/>
    <x v="3"/>
    <x v="2"/>
    <n v="66.400000000000006"/>
    <n v="0.05"/>
    <n v="166"/>
    <n v="232.4"/>
  </r>
  <r>
    <d v="2026-09-05T00:00:00"/>
    <n v="94"/>
    <s v="Castle Rock"/>
    <n v="5339.44"/>
    <n v="5297.89"/>
    <x v="6"/>
    <x v="0"/>
    <x v="0"/>
    <n v="105.96"/>
    <n v="0.05"/>
    <n v="264.89"/>
    <n v="370.84999999999997"/>
  </r>
  <r>
    <d v="2026-09-05T00:00:00"/>
    <n v="100"/>
    <s v="Howe Bout Arden"/>
    <n v="5338.42"/>
    <n v="5192.3999999999996"/>
    <x v="7"/>
    <x v="4"/>
    <x v="1"/>
    <n v="103.85"/>
    <n v="0.05"/>
    <n v="259.62"/>
    <n v="363.47"/>
  </r>
  <r>
    <d v="2026-09-05T00:00:00"/>
    <n v="126"/>
    <s v="Bend"/>
    <n v="3103.21"/>
    <n v="3032.36"/>
    <x v="8"/>
    <x v="5"/>
    <x v="3"/>
    <n v="60.65"/>
    <n v="0.01"/>
    <n v="30.32"/>
    <n v="90.97"/>
  </r>
  <r>
    <d v="2026-09-05T00:00:00"/>
    <n v="133"/>
    <s v="Woodhill"/>
    <n v="2967.18"/>
    <n v="2926.11"/>
    <x v="9"/>
    <x v="6"/>
    <x v="4"/>
    <n v="58.52"/>
    <n v="0.05"/>
    <n v="146.31"/>
    <n v="204.83"/>
  </r>
  <r>
    <d v="2026-09-05T00:00:00"/>
    <n v="149"/>
    <s v="Westwood Plaza"/>
    <n v="2190.66"/>
    <n v="2182.38"/>
    <x v="10"/>
    <x v="6"/>
    <x v="4"/>
    <n v="43.65"/>
    <n v="0.05"/>
    <n v="109.12"/>
    <n v="152.77000000000001"/>
  </r>
  <r>
    <d v="2026-09-05T00:00:00"/>
    <n v="157"/>
    <s v="Hamburg"/>
    <n v="4196.43"/>
    <n v="4074.4"/>
    <x v="11"/>
    <x v="7"/>
    <x v="5"/>
    <n v="81.489999999999995"/>
    <n v="0.05"/>
    <n v="203.72"/>
    <n v="285.20999999999998"/>
  </r>
  <r>
    <d v="2026-09-05T00:00:00"/>
    <n v="158"/>
    <s v="McCaslin Marketplace"/>
    <n v="2990.74"/>
    <n v="2939.18"/>
    <x v="12"/>
    <x v="0"/>
    <x v="0"/>
    <n v="58.78"/>
    <n v="0.05"/>
    <n v="146.96"/>
    <n v="205.74"/>
  </r>
  <r>
    <d v="2026-09-05T00:00:00"/>
    <n v="159"/>
    <s v="North Charleston"/>
    <n v="2077.5300000000002"/>
    <n v="2021.57"/>
    <x v="13"/>
    <x v="6"/>
    <x v="4"/>
    <n v="40.43"/>
    <n v="0.05"/>
    <n v="101.08"/>
    <n v="141.51"/>
  </r>
  <r>
    <d v="2026-09-05T00:00:00"/>
    <n v="161"/>
    <s v="Chico"/>
    <n v="4604.01"/>
    <n v="4391.41"/>
    <x v="14"/>
    <x v="8"/>
    <x v="1"/>
    <n v="87.83"/>
    <n v="0.05"/>
    <n v="219.57"/>
    <n v="307.39999999999998"/>
  </r>
  <r>
    <d v="2026-09-05T00:00:00"/>
    <n v="163"/>
    <s v="Forest Trace"/>
    <n v="4235.2299999999996"/>
    <n v="4190.5"/>
    <x v="15"/>
    <x v="0"/>
    <x v="0"/>
    <n v="83.81"/>
    <n v="0.05"/>
    <n v="209.53"/>
    <n v="293.34000000000003"/>
  </r>
  <r>
    <d v="2026-09-05T00:00:00"/>
    <n v="166"/>
    <s v="Centre Avenue"/>
    <n v="3762.03"/>
    <n v="3660.47"/>
    <x v="16"/>
    <x v="0"/>
    <x v="0"/>
    <n v="73.209999999999994"/>
    <n v="0.05"/>
    <n v="183.02"/>
    <n v="256.23"/>
  </r>
  <r>
    <d v="2026-09-05T00:00:00"/>
    <n v="172"/>
    <s v="Oakway"/>
    <n v="4116.7700000000004"/>
    <n v="4061.21"/>
    <x v="17"/>
    <x v="5"/>
    <x v="3"/>
    <n v="81.22"/>
    <n v="0.01"/>
    <n v="40.61"/>
    <n v="121.83"/>
  </r>
  <r>
    <d v="2026-09-05T00:00:00"/>
    <n v="204"/>
    <s v="North Medford"/>
    <n v="3239.45"/>
    <n v="3154.03"/>
    <x v="18"/>
    <x v="5"/>
    <x v="3"/>
    <n v="63.08"/>
    <n v="0.01"/>
    <n v="31.54"/>
    <n v="94.62"/>
  </r>
  <r>
    <d v="2026-09-05T00:00:00"/>
    <n v="210"/>
    <s v="South Eugene"/>
    <n v="2356.9299999999998"/>
    <n v="2348.94"/>
    <x v="19"/>
    <x v="5"/>
    <x v="3"/>
    <n v="46.98"/>
    <n v="0.01"/>
    <n v="23.49"/>
    <n v="70.47"/>
  </r>
  <r>
    <d v="2026-09-05T00:00:00"/>
    <n v="212"/>
    <s v="Woodland"/>
    <n v="3898.53"/>
    <n v="3758.48"/>
    <x v="20"/>
    <x v="9"/>
    <x v="1"/>
    <n v="75.17"/>
    <n v="0.05"/>
    <n v="187.92"/>
    <n v="263.08999999999997"/>
  </r>
  <r>
    <d v="2026-09-05T00:00:00"/>
    <n v="216"/>
    <s v="NE Columbia"/>
    <n v="2544.6799999999998"/>
    <n v="2446.4899999999998"/>
    <x v="21"/>
    <x v="6"/>
    <x v="4"/>
    <n v="48.93"/>
    <n v="0.05"/>
    <n v="122.32"/>
    <n v="171.25"/>
  </r>
  <r>
    <d v="2026-09-05T00:00:00"/>
    <n v="228"/>
    <s v="Auburn Village"/>
    <n v="1657.12"/>
    <n v="1640.54"/>
    <x v="22"/>
    <x v="10"/>
    <x v="1"/>
    <n v="32.81"/>
    <n v="0.05"/>
    <n v="82.03"/>
    <n v="114.84"/>
  </r>
  <r>
    <d v="2026-09-05T00:00:00"/>
    <n v="231"/>
    <s v="Kennesaw"/>
    <n v="3352.58"/>
    <n v="3319.21"/>
    <x v="23"/>
    <x v="11"/>
    <x v="6"/>
    <n v="66.38"/>
    <n v="0.05"/>
    <n v="165.96"/>
    <n v="232.34"/>
  </r>
  <r>
    <d v="2026-09-05T00:00:00"/>
    <n v="241"/>
    <s v="Woods Cross"/>
    <n v="2765.93"/>
    <n v="2674.29"/>
    <x v="24"/>
    <x v="5"/>
    <x v="3"/>
    <n v="53.49"/>
    <n v="0.01"/>
    <n v="26.74"/>
    <n v="80.23"/>
  </r>
  <r>
    <d v="2026-09-05T00:00:00"/>
    <n v="244"/>
    <s v="Redfield Promenade"/>
    <n v="2910.89"/>
    <n v="2840.41"/>
    <x v="25"/>
    <x v="12"/>
    <x v="1"/>
    <n v="56.81"/>
    <n v="0.05"/>
    <n v="142.02000000000001"/>
    <n v="198.83"/>
  </r>
  <r>
    <d v="2026-09-05T00:00:00"/>
    <n v="245"/>
    <s v="Evansville"/>
    <n v="2207.6"/>
    <n v="2059.7199999999998"/>
    <x v="26"/>
    <x v="7"/>
    <x v="5"/>
    <n v="41.19"/>
    <n v="0.05"/>
    <n v="102.99"/>
    <n v="144.18"/>
  </r>
  <r>
    <d v="2026-09-05T00:00:00"/>
    <n v="251"/>
    <s v="Westminster Promenade"/>
    <n v="5381.98"/>
    <n v="5286.78"/>
    <x v="27"/>
    <x v="0"/>
    <x v="0"/>
    <n v="105.74"/>
    <n v="0.05"/>
    <n v="264.33999999999997"/>
    <n v="370.08"/>
  </r>
  <r>
    <d v="2026-09-05T00:00:00"/>
    <n v="253"/>
    <s v="Park City"/>
    <n v="4105.54"/>
    <n v="4008.07"/>
    <x v="28"/>
    <x v="5"/>
    <x v="3"/>
    <n v="80.16"/>
    <n v="0.01"/>
    <n v="40.08"/>
    <n v="120.24"/>
  </r>
  <r>
    <d v="2026-09-05T00:00:00"/>
    <n v="256"/>
    <s v="South Academy Highlands"/>
    <n v="3883.44"/>
    <n v="3749.47"/>
    <x v="29"/>
    <x v="0"/>
    <x v="0"/>
    <n v="74.989999999999995"/>
    <n v="0.05"/>
    <n v="187.47"/>
    <n v="262.45999999999998"/>
  </r>
  <r>
    <d v="2026-09-05T00:00:00"/>
    <n v="258"/>
    <s v="Riverdale"/>
    <n v="2200.7800000000002"/>
    <n v="2169.17"/>
    <x v="30"/>
    <x v="5"/>
    <x v="3"/>
    <n v="43.38"/>
    <n v="0.01"/>
    <n v="21.69"/>
    <n v="65.070000000000007"/>
  </r>
  <r>
    <d v="2026-09-05T00:00:00"/>
    <n v="260"/>
    <s v="Highlands Ranch"/>
    <n v="4277.21"/>
    <n v="4126.3500000000004"/>
    <x v="31"/>
    <x v="0"/>
    <x v="0"/>
    <n v="82.53"/>
    <n v="0.05"/>
    <n v="206.32"/>
    <n v="288.85000000000002"/>
  </r>
  <r>
    <d v="2026-09-05T00:00:00"/>
    <n v="265"/>
    <s v="Dublin Commons"/>
    <n v="5592.06"/>
    <n v="5402.43"/>
    <x v="32"/>
    <x v="0"/>
    <x v="0"/>
    <n v="108.05"/>
    <n v="0.05"/>
    <n v="270.12"/>
    <n v="378.17"/>
  </r>
  <r>
    <d v="2026-09-05T00:00:00"/>
    <n v="267"/>
    <s v="Decatur"/>
    <n v="1829.42"/>
    <n v="1789.84"/>
    <x v="33"/>
    <x v="13"/>
    <x v="7"/>
    <n v="35.799999999999997"/>
    <n v="0.01"/>
    <n v="17.899999999999999"/>
    <n v="53.699999999999996"/>
  </r>
  <r>
    <d v="2026-09-05T00:00:00"/>
    <n v="272"/>
    <s v="Northfield Commons"/>
    <n v="3050.08"/>
    <n v="2993.34"/>
    <x v="34"/>
    <x v="0"/>
    <x v="0"/>
    <n v="59.87"/>
    <n v="0.05"/>
    <n v="149.66999999999999"/>
    <n v="209.54"/>
  </r>
  <r>
    <d v="2026-09-05T00:00:00"/>
    <n v="278"/>
    <s v="Diamond Circle"/>
    <n v="1967.24"/>
    <n v="1931.77"/>
    <x v="35"/>
    <x v="0"/>
    <x v="0"/>
    <n v="38.64"/>
    <n v="0.05"/>
    <n v="96.59"/>
    <n v="135.23000000000002"/>
  </r>
  <r>
    <d v="2026-09-05T00:00:00"/>
    <n v="279"/>
    <s v="Lexington"/>
    <n v="2039.38"/>
    <n v="2017.16"/>
    <x v="36"/>
    <x v="6"/>
    <x v="4"/>
    <n v="40.340000000000003"/>
    <n v="0.05"/>
    <n v="100.86"/>
    <n v="141.19999999999999"/>
  </r>
  <r>
    <d v="2026-09-05T00:00:00"/>
    <n v="285"/>
    <s v="Polaris Pointe"/>
    <n v="4943.8500000000004"/>
    <n v="4831.9799999999996"/>
    <x v="37"/>
    <x v="0"/>
    <x v="0"/>
    <n v="96.64"/>
    <n v="0.05"/>
    <n v="241.6"/>
    <n v="338.24"/>
  </r>
  <r>
    <d v="2026-09-05T00:00:00"/>
    <n v="292"/>
    <s v="Greeley"/>
    <n v="3386.56"/>
    <n v="3236.79"/>
    <x v="38"/>
    <x v="0"/>
    <x v="0"/>
    <n v="64.739999999999995"/>
    <n v="0.05"/>
    <n v="161.84"/>
    <n v="226.57999999999998"/>
  </r>
  <r>
    <d v="2026-09-05T00:00:00"/>
    <n v="293"/>
    <s v="West Sacramento"/>
    <n v="2622.77"/>
    <n v="2579.6799999999998"/>
    <x v="39"/>
    <x v="14"/>
    <x v="1"/>
    <n v="51.59"/>
    <n v="0.05"/>
    <n v="128.97999999999999"/>
    <n v="180.57"/>
  </r>
  <r>
    <d v="2026-09-05T00:00:00"/>
    <n v="296"/>
    <s v="Rancho Cordova"/>
    <n v="2148.41"/>
    <n v="2120.8200000000002"/>
    <x v="40"/>
    <x v="15"/>
    <x v="1"/>
    <n v="42.42"/>
    <n v="0.05"/>
    <n v="106.04"/>
    <n v="148.46"/>
  </r>
  <r>
    <d v="2026-09-05T00:00:00"/>
    <n v="324"/>
    <s v="American Fork"/>
    <n v="2655.4"/>
    <n v="2557.36"/>
    <x v="41"/>
    <x v="5"/>
    <x v="3"/>
    <n v="51.15"/>
    <n v="0.01"/>
    <n v="25.57"/>
    <n v="76.72"/>
  </r>
  <r>
    <d v="2026-09-05T00:00:00"/>
    <n v="325"/>
    <s v="Sugar House"/>
    <n v="2491.34"/>
    <n v="2421.5"/>
    <x v="42"/>
    <x v="5"/>
    <x v="3"/>
    <n v="48.43"/>
    <n v="0.01"/>
    <n v="24.22"/>
    <n v="72.650000000000006"/>
  </r>
  <r>
    <d v="2026-09-05T00:00:00"/>
    <n v="332"/>
    <s v="Riverton"/>
    <n v="2250.48"/>
    <n v="2181.77"/>
    <x v="43"/>
    <x v="5"/>
    <x v="3"/>
    <n v="43.64"/>
    <n v="0.01"/>
    <n v="21.82"/>
    <n v="65.460000000000008"/>
  </r>
  <r>
    <d v="2026-09-05T00:00:00"/>
    <n v="334"/>
    <s v="Layton"/>
    <n v="2583.42"/>
    <n v="2506.11"/>
    <x v="44"/>
    <x v="5"/>
    <x v="3"/>
    <n v="50.12"/>
    <n v="0.01"/>
    <n v="25.06"/>
    <n v="75.179999999999993"/>
  </r>
  <r>
    <d v="2026-09-05T00:00:00"/>
    <n v="338"/>
    <s v="Augusta Exchange"/>
    <n v="2596.33"/>
    <n v="2439.11"/>
    <x v="45"/>
    <x v="6"/>
    <x v="4"/>
    <n v="48.78"/>
    <n v="0.05"/>
    <n v="121.96"/>
    <n v="170.74"/>
  </r>
  <r>
    <d v="2026-09-05T00:00:00"/>
    <n v="348"/>
    <s v="Bend North"/>
    <n v="3464.27"/>
    <n v="3295.72"/>
    <x v="46"/>
    <x v="5"/>
    <x v="3"/>
    <n v="65.91"/>
    <n v="0.01"/>
    <n v="32.96"/>
    <n v="98.87"/>
  </r>
  <r>
    <d v="2026-09-05T00:00:00"/>
    <n v="349"/>
    <s v="South Medford"/>
    <n v="2567.5"/>
    <n v="2475.92"/>
    <x v="47"/>
    <x v="5"/>
    <x v="3"/>
    <n v="49.52"/>
    <n v="0.01"/>
    <n v="24.76"/>
    <n v="74.28"/>
  </r>
  <r>
    <d v="2026-09-05T00:00:00"/>
    <n v="352"/>
    <s v="Georgetown"/>
    <n v="2200.08"/>
    <n v="2075.84"/>
    <x v="48"/>
    <x v="7"/>
    <x v="5"/>
    <n v="41.52"/>
    <n v="0.05"/>
    <n v="103.79"/>
    <n v="145.31"/>
  </r>
  <r>
    <d v="2026-09-05T00:00:00"/>
    <n v="366"/>
    <s v="Saratoga Springs"/>
    <n v="3678.5"/>
    <n v="3588.04"/>
    <x v="49"/>
    <x v="5"/>
    <x v="3"/>
    <n v="71.760000000000005"/>
    <n v="0.01"/>
    <n v="35.880000000000003"/>
    <n v="107.64000000000001"/>
  </r>
  <r>
    <d v="2026-09-05T00:00:00"/>
    <n v="384"/>
    <s v="Ralston Creek"/>
    <n v="3106.01"/>
    <n v="3049.07"/>
    <x v="50"/>
    <x v="0"/>
    <x v="0"/>
    <n v="60.98"/>
    <n v="0.05"/>
    <n v="152.44999999999999"/>
    <n v="213.42999999999998"/>
  </r>
  <r>
    <d v="2026-09-05T00:00:00"/>
    <n v="413"/>
    <s v="Madison"/>
    <n v="1703.14"/>
    <n v="1680.95"/>
    <x v="51"/>
    <x v="16"/>
    <x v="8"/>
    <n v="33.619999999999997"/>
    <n v="0.01"/>
    <n v="16.809999999999999"/>
    <n v="50.429999999999993"/>
  </r>
  <r>
    <d v="2026-09-05T00:00:00"/>
    <n v="421"/>
    <s v="Fort Union"/>
    <n v="2338.29"/>
    <n v="2219.8000000000002"/>
    <x v="52"/>
    <x v="5"/>
    <x v="3"/>
    <n v="44.4"/>
    <n v="0.01"/>
    <n v="22.2"/>
    <n v="66.599999999999994"/>
  </r>
  <r>
    <d v="2026-09-05T00:00:00"/>
    <n v="425"/>
    <s v="Crown Point"/>
    <n v="4221.32"/>
    <n v="4120.7700000000004"/>
    <x v="53"/>
    <x v="0"/>
    <x v="0"/>
    <n v="82.42"/>
    <n v="0.05"/>
    <n v="206.04"/>
    <n v="288.45999999999998"/>
  </r>
  <r>
    <d v="2026-09-05T00:00:00"/>
    <n v="429"/>
    <s v="South Jordan"/>
    <n v="2273.46"/>
    <n v="2148.36"/>
    <x v="54"/>
    <x v="5"/>
    <x v="3"/>
    <n v="42.97"/>
    <n v="0.01"/>
    <n v="21.48"/>
    <n v="64.45"/>
  </r>
  <r>
    <d v="2026-09-05T00:00:00"/>
    <n v="433"/>
    <s v="Grants Pass"/>
    <n v="2079.58"/>
    <n v="2028.14"/>
    <x v="55"/>
    <x v="5"/>
    <x v="3"/>
    <n v="40.56"/>
    <n v="0.01"/>
    <n v="20.28"/>
    <n v="60.84"/>
  </r>
  <r>
    <d v="2026-09-05T00:00:00"/>
    <n v="452"/>
    <s v="Mobile"/>
    <n v="1709.59"/>
    <n v="1680.46"/>
    <x v="56"/>
    <x v="17"/>
    <x v="7"/>
    <n v="33.61"/>
    <n v="0.01"/>
    <n v="16.8"/>
    <n v="50.41"/>
  </r>
  <r>
    <d v="2026-09-05T00:00:00"/>
    <n v="478"/>
    <s v="Pocatello"/>
    <n v="1705.37"/>
    <n v="1659.6"/>
    <x v="57"/>
    <x v="5"/>
    <x v="3"/>
    <n v="33.19"/>
    <n v="0.01"/>
    <n v="16.600000000000001"/>
    <n v="49.79"/>
  </r>
  <r>
    <d v="2026-09-05T00:00:00"/>
    <n v="514"/>
    <s v="Spanish Fork"/>
    <n v="2386.73"/>
    <n v="2306.65"/>
    <x v="58"/>
    <x v="5"/>
    <x v="3"/>
    <n v="46.13"/>
    <n v="0.01"/>
    <n v="23.07"/>
    <n v="69.2"/>
  </r>
  <r>
    <d v="2026-09-05T00:00:00"/>
    <n v="515"/>
    <s v="Downtown Boise"/>
    <n v="2218.31"/>
    <n v="2184.96"/>
    <x v="59"/>
    <x v="5"/>
    <x v="3"/>
    <n v="43.7"/>
    <n v="0.01"/>
    <n v="21.85"/>
    <n v="65.550000000000011"/>
  </r>
  <r>
    <d v="2026-09-05T00:00:00"/>
    <n v="521"/>
    <s v="Boise Town Square"/>
    <n v="1690.2"/>
    <n v="1656.62"/>
    <x v="60"/>
    <x v="5"/>
    <x v="3"/>
    <n v="33.130000000000003"/>
    <n v="0.01"/>
    <n v="16.57"/>
    <n v="49.7"/>
  </r>
  <r>
    <d v="2026-09-05T00:00:00"/>
    <n v="586"/>
    <s v="Johnstown"/>
    <n v="4737.72"/>
    <n v="4654.1000000000004"/>
    <x v="61"/>
    <x v="0"/>
    <x v="0"/>
    <n v="93.08"/>
    <n v="0.05"/>
    <n v="232.71"/>
    <n v="325.79000000000002"/>
  </r>
  <r>
    <d v="2026-09-05T00:00:00"/>
    <n v="605"/>
    <s v="Campus Oaks"/>
    <n v="3404.51"/>
    <n v="3236.15"/>
    <x v="62"/>
    <x v="18"/>
    <x v="1"/>
    <n v="64.72"/>
    <n v="0.05"/>
    <n v="161.81"/>
    <n v="226.53"/>
  </r>
  <r>
    <d v="2026-09-05T00:00:00"/>
    <n v="607"/>
    <s v="Tower"/>
    <n v="4144.79"/>
    <n v="4102.42"/>
    <x v="63"/>
    <x v="0"/>
    <x v="0"/>
    <n v="82.05"/>
    <n v="0.05"/>
    <n v="205.12"/>
    <n v="287.17"/>
  </r>
  <r>
    <d v="2026-09-05T00:00:00"/>
    <n v="608"/>
    <s v="Sheridan Parkway"/>
    <n v="4030.74"/>
    <n v="3951.92"/>
    <x v="64"/>
    <x v="0"/>
    <x v="0"/>
    <n v="79.040000000000006"/>
    <n v="0.05"/>
    <n v="197.6"/>
    <n v="276.64"/>
  </r>
  <r>
    <d v="2026-09-05T00:00:00"/>
    <n v="616"/>
    <s v="Eureka"/>
    <n v="2850.91"/>
    <n v="2804.92"/>
    <x v="65"/>
    <x v="19"/>
    <x v="1"/>
    <n v="56.1"/>
    <n v="0.05"/>
    <n v="140.25"/>
    <n v="196.35"/>
  </r>
  <r>
    <d v="2026-09-05T00:00:00"/>
    <n v="617"/>
    <s v="Lowry"/>
    <n v="2646.77"/>
    <n v="2526.11"/>
    <x v="66"/>
    <x v="0"/>
    <x v="0"/>
    <n v="50.52"/>
    <n v="0.05"/>
    <n v="126.31"/>
    <n v="176.83"/>
  </r>
  <r>
    <d v="2026-09-05T00:00:00"/>
    <n v="648"/>
    <s v="Belmont Market"/>
    <n v="2669.64"/>
    <n v="2612.83"/>
    <x v="67"/>
    <x v="20"/>
    <x v="9"/>
    <n v="26.13"/>
    <n v="0.02"/>
    <n v="52.26"/>
    <n v="78.39"/>
  </r>
  <r>
    <d v="2026-09-05T00:00:00"/>
    <n v="659"/>
    <s v="Ammon"/>
    <n v="1664.64"/>
    <n v="1624.02"/>
    <x v="68"/>
    <x v="5"/>
    <x v="3"/>
    <n v="32.479999999999997"/>
    <n v="0.01"/>
    <n v="16.239999999999998"/>
    <n v="48.72"/>
  </r>
  <r>
    <d v="2026-09-05T00:00:00"/>
    <n v="699"/>
    <s v="Grand Junction"/>
    <n v="1844.35"/>
    <n v="1828.36"/>
    <x v="69"/>
    <x v="0"/>
    <x v="0"/>
    <n v="36.57"/>
    <n v="0.05"/>
    <n v="91.42"/>
    <n v="127.99000000000001"/>
  </r>
  <r>
    <d v="2026-09-05T00:00:00"/>
    <n v="711"/>
    <s v="Country Club Centre"/>
    <n v="1721.51"/>
    <n v="1567.24"/>
    <x v="70"/>
    <x v="21"/>
    <x v="9"/>
    <n v="15.67"/>
    <n v="0.01"/>
    <n v="15.67"/>
    <n v="31.34"/>
  </r>
  <r>
    <d v="2026-09-05T00:00:00"/>
    <n v="722"/>
    <s v="Creekwalk"/>
    <n v="2472.12"/>
    <n v="2391.1799999999998"/>
    <x v="71"/>
    <x v="0"/>
    <x v="0"/>
    <n v="47.82"/>
    <n v="0.02"/>
    <n v="47.82"/>
    <n v="95.64"/>
  </r>
  <r>
    <d v="2026-09-05T00:00:00"/>
    <n v="731"/>
    <s v="Naval Air Station Norfolk"/>
    <n v="1056.28"/>
    <n v="1054.6500000000001"/>
    <x v="72"/>
    <x v="22"/>
    <x v="10"/>
    <n v="5.27"/>
    <n v="0.02"/>
    <n v="21.09"/>
    <n v="26.36"/>
  </r>
  <r>
    <d v="2026-09-05T00:00:00"/>
    <n v="761"/>
    <s v="Roseburg"/>
    <n v="1727.35"/>
    <n v="1707.06"/>
    <x v="73"/>
    <x v="5"/>
    <x v="3"/>
    <n v="34.14"/>
    <n v="0.01"/>
    <n v="17.07"/>
    <n v="51.21"/>
  </r>
  <r>
    <d v="2026-09-05T00:00:00"/>
    <n v="777"/>
    <s v="Springfield-Oregon"/>
    <n v="1975.24"/>
    <n v="1927.81"/>
    <x v="74"/>
    <x v="5"/>
    <x v="3"/>
    <n v="38.56"/>
    <n v="0.01"/>
    <n v="19.28"/>
    <n v="57.84"/>
  </r>
  <r>
    <d v="2026-09-05T00:00:00"/>
    <n v="820"/>
    <s v="Churn Creek"/>
    <n v="3922.04"/>
    <n v="3825.72"/>
    <x v="75"/>
    <x v="23"/>
    <x v="1"/>
    <n v="76.510000000000005"/>
    <n v="0.05"/>
    <n v="191.29"/>
    <n v="267.8"/>
  </r>
  <r>
    <d v="2026-09-04T00:00:00"/>
    <n v="21"/>
    <s v="Park Meadows"/>
    <n v="4068.81"/>
    <n v="3976.57"/>
    <x v="0"/>
    <x v="0"/>
    <x v="0"/>
    <n v="79.53"/>
    <n v="0.05"/>
    <n v="198.83"/>
    <n v="278.36"/>
  </r>
  <r>
    <d v="2026-09-04T00:00:00"/>
    <n v="47"/>
    <s v="Redding"/>
    <n v="4139.6000000000004"/>
    <n v="3928.92"/>
    <x v="1"/>
    <x v="1"/>
    <x v="1"/>
    <n v="78.58"/>
    <n v="0.05"/>
    <n v="196.45"/>
    <n v="275.02999999999997"/>
  </r>
  <r>
    <d v="2026-09-04T00:00:00"/>
    <n v="55"/>
    <s v="Rocklin"/>
    <n v="3633.58"/>
    <n v="3579.42"/>
    <x v="2"/>
    <x v="2"/>
    <x v="1"/>
    <n v="71.59"/>
    <n v="0.05"/>
    <n v="178.97"/>
    <n v="250.56"/>
  </r>
  <r>
    <d v="2026-09-04T00:00:00"/>
    <n v="56"/>
    <s v="Livonia"/>
    <n v="4076.6"/>
    <n v="4011.1"/>
    <x v="3"/>
    <x v="3"/>
    <x v="2"/>
    <n v="80.22"/>
    <n v="0.05"/>
    <n v="200.56"/>
    <n v="280.77999999999997"/>
  </r>
  <r>
    <d v="2026-09-04T00:00:00"/>
    <n v="77"/>
    <s v="Falcon Landing"/>
    <n v="4038.89"/>
    <n v="3960.74"/>
    <x v="4"/>
    <x v="0"/>
    <x v="0"/>
    <n v="79.209999999999994"/>
    <n v="0.05"/>
    <n v="198.04"/>
    <n v="277.25"/>
  </r>
  <r>
    <d v="2026-09-04T00:00:00"/>
    <n v="93"/>
    <s v="Brighton"/>
    <n v="4932.43"/>
    <n v="4812.6899999999996"/>
    <x v="5"/>
    <x v="3"/>
    <x v="2"/>
    <n v="96.25"/>
    <n v="0.05"/>
    <n v="240.63"/>
    <n v="336.88"/>
  </r>
  <r>
    <d v="2026-09-04T00:00:00"/>
    <n v="94"/>
    <s v="Castle Rock"/>
    <n v="6123.13"/>
    <n v="5884.82"/>
    <x v="6"/>
    <x v="0"/>
    <x v="0"/>
    <n v="117.7"/>
    <n v="0.05"/>
    <n v="294.24"/>
    <n v="411.94"/>
  </r>
  <r>
    <d v="2026-09-04T00:00:00"/>
    <n v="100"/>
    <s v="Howe Bout Arden"/>
    <n v="4467.3900000000003"/>
    <n v="4324.79"/>
    <x v="7"/>
    <x v="4"/>
    <x v="1"/>
    <n v="86.5"/>
    <n v="0.05"/>
    <n v="216.24"/>
    <n v="302.74"/>
  </r>
  <r>
    <d v="2026-09-04T00:00:00"/>
    <n v="126"/>
    <s v="Bend"/>
    <n v="2895.34"/>
    <n v="2857.66"/>
    <x v="8"/>
    <x v="5"/>
    <x v="3"/>
    <n v="57.15"/>
    <n v="0.01"/>
    <n v="28.58"/>
    <n v="85.72999999999999"/>
  </r>
  <r>
    <d v="2026-09-04T00:00:00"/>
    <n v="133"/>
    <s v="Woodhill"/>
    <n v="3581.44"/>
    <n v="3495.41"/>
    <x v="9"/>
    <x v="6"/>
    <x v="4"/>
    <n v="69.91"/>
    <n v="0.05"/>
    <n v="174.77"/>
    <n v="244.68"/>
  </r>
  <r>
    <d v="2026-09-04T00:00:00"/>
    <n v="149"/>
    <s v="Westwood Plaza"/>
    <n v="2496.13"/>
    <n v="2447.59"/>
    <x v="10"/>
    <x v="6"/>
    <x v="4"/>
    <n v="48.95"/>
    <n v="0.05"/>
    <n v="122.38"/>
    <n v="171.32999999999998"/>
  </r>
  <r>
    <d v="2026-09-04T00:00:00"/>
    <n v="157"/>
    <s v="Hamburg"/>
    <n v="3722.46"/>
    <n v="3653.92"/>
    <x v="11"/>
    <x v="7"/>
    <x v="5"/>
    <n v="73.08"/>
    <n v="0.05"/>
    <n v="182.7"/>
    <n v="255.77999999999997"/>
  </r>
  <r>
    <d v="2026-09-04T00:00:00"/>
    <n v="158"/>
    <s v="McCaslin Marketplace"/>
    <n v="4377.13"/>
    <n v="4248.37"/>
    <x v="12"/>
    <x v="0"/>
    <x v="0"/>
    <n v="84.97"/>
    <n v="0.05"/>
    <n v="212.42"/>
    <n v="297.39"/>
  </r>
  <r>
    <d v="2026-09-04T00:00:00"/>
    <n v="159"/>
    <s v="North Charleston"/>
    <n v="2395.14"/>
    <n v="2346.1799999999998"/>
    <x v="13"/>
    <x v="6"/>
    <x v="4"/>
    <n v="46.92"/>
    <n v="0.05"/>
    <n v="117.31"/>
    <n v="164.23000000000002"/>
  </r>
  <r>
    <d v="2026-09-04T00:00:00"/>
    <n v="161"/>
    <s v="Chico"/>
    <n v="5435.78"/>
    <n v="5267.76"/>
    <x v="14"/>
    <x v="8"/>
    <x v="1"/>
    <n v="105.36"/>
    <n v="0.05"/>
    <n v="263.39"/>
    <n v="368.75"/>
  </r>
  <r>
    <d v="2026-09-04T00:00:00"/>
    <n v="163"/>
    <s v="Forest Trace"/>
    <n v="6595.53"/>
    <n v="6354.58"/>
    <x v="15"/>
    <x v="0"/>
    <x v="0"/>
    <n v="127.09"/>
    <n v="0.05"/>
    <n v="317.73"/>
    <n v="444.82000000000005"/>
  </r>
  <r>
    <d v="2026-09-04T00:00:00"/>
    <n v="166"/>
    <s v="Centre Avenue"/>
    <n v="4715.29"/>
    <n v="4682.76"/>
    <x v="16"/>
    <x v="0"/>
    <x v="0"/>
    <n v="93.66"/>
    <n v="0.05"/>
    <n v="234.14"/>
    <n v="327.79999999999995"/>
  </r>
  <r>
    <d v="2026-09-04T00:00:00"/>
    <n v="172"/>
    <s v="Oakway"/>
    <n v="3934.08"/>
    <n v="3867.96"/>
    <x v="17"/>
    <x v="5"/>
    <x v="3"/>
    <n v="77.36"/>
    <n v="0.01"/>
    <n v="38.68"/>
    <n v="116.03999999999999"/>
  </r>
  <r>
    <d v="2026-09-04T00:00:00"/>
    <n v="204"/>
    <s v="North Medford"/>
    <n v="3782.78"/>
    <n v="3720.28"/>
    <x v="18"/>
    <x v="5"/>
    <x v="3"/>
    <n v="74.41"/>
    <n v="0.01"/>
    <n v="37.200000000000003"/>
    <n v="111.61"/>
  </r>
  <r>
    <d v="2026-09-04T00:00:00"/>
    <n v="210"/>
    <s v="South Eugene"/>
    <n v="3176.16"/>
    <n v="3060.08"/>
    <x v="19"/>
    <x v="5"/>
    <x v="3"/>
    <n v="61.2"/>
    <n v="0.01"/>
    <n v="30.6"/>
    <n v="91.800000000000011"/>
  </r>
  <r>
    <d v="2026-09-04T00:00:00"/>
    <n v="212"/>
    <s v="Woodland"/>
    <n v="3646.51"/>
    <n v="3556.32"/>
    <x v="20"/>
    <x v="9"/>
    <x v="1"/>
    <n v="71.13"/>
    <n v="0.05"/>
    <n v="177.82"/>
    <n v="248.95"/>
  </r>
  <r>
    <d v="2026-09-04T00:00:00"/>
    <n v="216"/>
    <s v="NE Columbia"/>
    <n v="3728.05"/>
    <n v="3613.06"/>
    <x v="21"/>
    <x v="6"/>
    <x v="4"/>
    <n v="72.260000000000005"/>
    <n v="0.05"/>
    <n v="180.65"/>
    <n v="252.91000000000003"/>
  </r>
  <r>
    <d v="2026-09-04T00:00:00"/>
    <n v="228"/>
    <s v="Auburn Village"/>
    <n v="1384.25"/>
    <n v="1312.89"/>
    <x v="22"/>
    <x v="10"/>
    <x v="1"/>
    <n v="26.26"/>
    <n v="0.05"/>
    <n v="65.64"/>
    <n v="91.9"/>
  </r>
  <r>
    <d v="2026-09-04T00:00:00"/>
    <n v="231"/>
    <s v="Kennesaw"/>
    <n v="3807.16"/>
    <n v="3759.91"/>
    <x v="23"/>
    <x v="11"/>
    <x v="6"/>
    <n v="75.2"/>
    <n v="0.05"/>
    <n v="188"/>
    <n v="263.2"/>
  </r>
  <r>
    <d v="2026-09-04T00:00:00"/>
    <n v="241"/>
    <s v="Woods Cross"/>
    <n v="3372.96"/>
    <n v="3195.98"/>
    <x v="24"/>
    <x v="5"/>
    <x v="3"/>
    <n v="63.92"/>
    <n v="0.01"/>
    <n v="31.96"/>
    <n v="95.88"/>
  </r>
  <r>
    <d v="2026-09-04T00:00:00"/>
    <n v="244"/>
    <s v="Redfield Promenade"/>
    <n v="2466"/>
    <n v="2380.94"/>
    <x v="25"/>
    <x v="12"/>
    <x v="1"/>
    <n v="47.62"/>
    <n v="0.05"/>
    <n v="119.05"/>
    <n v="166.67"/>
  </r>
  <r>
    <d v="2026-09-04T00:00:00"/>
    <n v="245"/>
    <s v="Evansville"/>
    <n v="2494.5300000000002"/>
    <n v="2328.7800000000002"/>
    <x v="26"/>
    <x v="7"/>
    <x v="5"/>
    <n v="46.58"/>
    <n v="0.05"/>
    <n v="116.44"/>
    <n v="163.01999999999998"/>
  </r>
  <r>
    <d v="2026-09-04T00:00:00"/>
    <n v="251"/>
    <s v="Westminster Promenade"/>
    <n v="5084.29"/>
    <n v="4952.22"/>
    <x v="27"/>
    <x v="0"/>
    <x v="0"/>
    <n v="99.04"/>
    <n v="0.05"/>
    <n v="247.61"/>
    <n v="346.65000000000003"/>
  </r>
  <r>
    <d v="2026-09-04T00:00:00"/>
    <n v="253"/>
    <s v="Park City"/>
    <n v="3305.52"/>
    <n v="3215.48"/>
    <x v="28"/>
    <x v="5"/>
    <x v="3"/>
    <n v="64.31"/>
    <n v="0.01"/>
    <n v="32.15"/>
    <n v="96.460000000000008"/>
  </r>
  <r>
    <d v="2026-09-04T00:00:00"/>
    <n v="256"/>
    <s v="South Academy Highlands"/>
    <n v="4337.41"/>
    <n v="4096.67"/>
    <x v="29"/>
    <x v="0"/>
    <x v="0"/>
    <n v="81.93"/>
    <n v="0.05"/>
    <n v="204.83"/>
    <n v="286.76"/>
  </r>
  <r>
    <d v="2026-09-04T00:00:00"/>
    <n v="258"/>
    <s v="Riverdale"/>
    <n v="2988.67"/>
    <n v="2917.21"/>
    <x v="30"/>
    <x v="5"/>
    <x v="3"/>
    <n v="58.34"/>
    <n v="0.01"/>
    <n v="29.17"/>
    <n v="87.51"/>
  </r>
  <r>
    <d v="2026-09-04T00:00:00"/>
    <n v="260"/>
    <s v="Highlands Ranch"/>
    <n v="5074.87"/>
    <n v="4897.74"/>
    <x v="31"/>
    <x v="0"/>
    <x v="0"/>
    <n v="97.95"/>
    <n v="0.05"/>
    <n v="244.89"/>
    <n v="342.84"/>
  </r>
  <r>
    <d v="2026-09-04T00:00:00"/>
    <n v="265"/>
    <s v="Dublin Commons"/>
    <n v="6915.02"/>
    <n v="6773.82"/>
    <x v="32"/>
    <x v="0"/>
    <x v="0"/>
    <n v="135.47999999999999"/>
    <n v="0.05"/>
    <n v="338.69"/>
    <n v="474.16999999999996"/>
  </r>
  <r>
    <d v="2026-09-04T00:00:00"/>
    <n v="267"/>
    <s v="Decatur"/>
    <n v="2192.92"/>
    <n v="2180.4499999999998"/>
    <x v="33"/>
    <x v="13"/>
    <x v="7"/>
    <n v="43.61"/>
    <n v="0.01"/>
    <n v="21.8"/>
    <n v="65.41"/>
  </r>
  <r>
    <d v="2026-09-04T00:00:00"/>
    <n v="272"/>
    <s v="Northfield Commons"/>
    <n v="4037.15"/>
    <n v="3984.4"/>
    <x v="34"/>
    <x v="0"/>
    <x v="0"/>
    <n v="79.69"/>
    <n v="0.05"/>
    <n v="199.22"/>
    <n v="278.90999999999997"/>
  </r>
  <r>
    <d v="2026-09-04T00:00:00"/>
    <n v="278"/>
    <s v="Diamond Circle"/>
    <n v="3219.34"/>
    <n v="3178.38"/>
    <x v="35"/>
    <x v="0"/>
    <x v="0"/>
    <n v="63.57"/>
    <n v="0.05"/>
    <n v="158.91999999999999"/>
    <n v="222.48999999999998"/>
  </r>
  <r>
    <d v="2026-09-04T00:00:00"/>
    <n v="279"/>
    <s v="Lexington"/>
    <n v="3561.31"/>
    <n v="3470.26"/>
    <x v="36"/>
    <x v="6"/>
    <x v="4"/>
    <n v="69.41"/>
    <n v="0.05"/>
    <n v="173.51"/>
    <n v="242.92"/>
  </r>
  <r>
    <d v="2026-09-04T00:00:00"/>
    <n v="285"/>
    <s v="Polaris Pointe"/>
    <n v="5313.63"/>
    <n v="5175.5"/>
    <x v="37"/>
    <x v="0"/>
    <x v="0"/>
    <n v="103.51"/>
    <n v="0.05"/>
    <n v="258.77999999999997"/>
    <n v="362.28999999999996"/>
  </r>
  <r>
    <d v="2026-09-04T00:00:00"/>
    <n v="292"/>
    <s v="Greeley"/>
    <n v="3664.58"/>
    <n v="3613.13"/>
    <x v="38"/>
    <x v="0"/>
    <x v="0"/>
    <n v="72.260000000000005"/>
    <n v="0.05"/>
    <n v="180.66"/>
    <n v="252.92000000000002"/>
  </r>
  <r>
    <d v="2026-09-04T00:00:00"/>
    <n v="293"/>
    <s v="West Sacramento"/>
    <n v="2490.7600000000002"/>
    <n v="2412.84"/>
    <x v="39"/>
    <x v="14"/>
    <x v="1"/>
    <n v="48.26"/>
    <n v="0.05"/>
    <n v="120.64"/>
    <n v="168.9"/>
  </r>
  <r>
    <d v="2026-09-04T00:00:00"/>
    <n v="296"/>
    <s v="Rancho Cordova"/>
    <n v="2613.8000000000002"/>
    <n v="2468.6799999999998"/>
    <x v="40"/>
    <x v="15"/>
    <x v="1"/>
    <n v="49.37"/>
    <n v="0.05"/>
    <n v="123.43"/>
    <n v="172.8"/>
  </r>
  <r>
    <d v="2026-09-04T00:00:00"/>
    <n v="324"/>
    <s v="American Fork"/>
    <n v="3297.49"/>
    <n v="3215.75"/>
    <x v="41"/>
    <x v="5"/>
    <x v="3"/>
    <n v="64.319999999999993"/>
    <n v="0.01"/>
    <n v="32.159999999999997"/>
    <n v="96.47999999999999"/>
  </r>
  <r>
    <d v="2026-09-04T00:00:00"/>
    <n v="325"/>
    <s v="Sugar House"/>
    <n v="2631.56"/>
    <n v="2543.86"/>
    <x v="42"/>
    <x v="5"/>
    <x v="3"/>
    <n v="50.88"/>
    <n v="0.01"/>
    <n v="25.44"/>
    <n v="76.320000000000007"/>
  </r>
  <r>
    <d v="2026-09-04T00:00:00"/>
    <n v="332"/>
    <s v="Riverton"/>
    <n v="3293.07"/>
    <n v="3169.54"/>
    <x v="43"/>
    <x v="5"/>
    <x v="3"/>
    <n v="63.39"/>
    <n v="0.01"/>
    <n v="31.7"/>
    <n v="95.09"/>
  </r>
  <r>
    <d v="2026-09-04T00:00:00"/>
    <n v="334"/>
    <s v="Layton"/>
    <n v="2793.57"/>
    <n v="2504.44"/>
    <x v="44"/>
    <x v="5"/>
    <x v="3"/>
    <n v="50.09"/>
    <n v="0.01"/>
    <n v="25.04"/>
    <n v="75.13"/>
  </r>
  <r>
    <d v="2026-09-04T00:00:00"/>
    <n v="338"/>
    <s v="Augusta Exchange"/>
    <n v="2548.7600000000002"/>
    <n v="2463.58"/>
    <x v="45"/>
    <x v="6"/>
    <x v="4"/>
    <n v="49.27"/>
    <n v="0.05"/>
    <n v="123.18"/>
    <n v="172.45000000000002"/>
  </r>
  <r>
    <d v="2026-09-04T00:00:00"/>
    <n v="348"/>
    <s v="Bend North"/>
    <n v="4236.24"/>
    <n v="4138.54"/>
    <x v="46"/>
    <x v="5"/>
    <x v="3"/>
    <n v="82.77"/>
    <n v="0.01"/>
    <n v="41.39"/>
    <n v="124.16"/>
  </r>
  <r>
    <d v="2026-09-04T00:00:00"/>
    <n v="349"/>
    <s v="South Medford"/>
    <n v="3001.79"/>
    <n v="2904"/>
    <x v="47"/>
    <x v="5"/>
    <x v="3"/>
    <n v="58.08"/>
    <n v="0.01"/>
    <n v="29.04"/>
    <n v="87.12"/>
  </r>
  <r>
    <d v="2026-09-04T00:00:00"/>
    <n v="352"/>
    <s v="Georgetown"/>
    <n v="2615.19"/>
    <n v="2443.41"/>
    <x v="48"/>
    <x v="7"/>
    <x v="5"/>
    <n v="48.87"/>
    <n v="0.05"/>
    <n v="122.17"/>
    <n v="171.04"/>
  </r>
  <r>
    <d v="2026-09-04T00:00:00"/>
    <n v="366"/>
    <s v="Saratoga Springs"/>
    <n v="4213.0200000000004"/>
    <n v="4087.14"/>
    <x v="49"/>
    <x v="5"/>
    <x v="3"/>
    <n v="81.739999999999995"/>
    <n v="0.01"/>
    <n v="40.869999999999997"/>
    <n v="122.60999999999999"/>
  </r>
  <r>
    <d v="2026-09-04T00:00:00"/>
    <n v="384"/>
    <s v="Ralston Creek"/>
    <n v="3681.48"/>
    <n v="3532.48"/>
    <x v="50"/>
    <x v="0"/>
    <x v="0"/>
    <n v="70.650000000000006"/>
    <n v="0.05"/>
    <n v="176.62"/>
    <n v="247.27"/>
  </r>
  <r>
    <d v="2026-09-04T00:00:00"/>
    <n v="413"/>
    <s v="Madison"/>
    <n v="2364.27"/>
    <n v="2321.5300000000002"/>
    <x v="51"/>
    <x v="16"/>
    <x v="8"/>
    <n v="46.43"/>
    <n v="0.01"/>
    <n v="23.22"/>
    <n v="69.650000000000006"/>
  </r>
  <r>
    <d v="2026-09-04T00:00:00"/>
    <n v="421"/>
    <s v="Fort Union"/>
    <n v="2876.69"/>
    <n v="2812.5"/>
    <x v="52"/>
    <x v="5"/>
    <x v="3"/>
    <n v="56.25"/>
    <n v="0.01"/>
    <n v="28.13"/>
    <n v="84.38"/>
  </r>
  <r>
    <d v="2026-09-04T00:00:00"/>
    <n v="425"/>
    <s v="Crown Point"/>
    <n v="4561.99"/>
    <n v="4443.04"/>
    <x v="53"/>
    <x v="0"/>
    <x v="0"/>
    <n v="88.86"/>
    <n v="0.05"/>
    <n v="222.15"/>
    <n v="311.01"/>
  </r>
  <r>
    <d v="2026-09-04T00:00:00"/>
    <n v="429"/>
    <s v="South Jordan"/>
    <n v="2558.09"/>
    <n v="2495.5300000000002"/>
    <x v="54"/>
    <x v="5"/>
    <x v="3"/>
    <n v="49.91"/>
    <n v="0.01"/>
    <n v="24.96"/>
    <n v="74.87"/>
  </r>
  <r>
    <d v="2026-09-04T00:00:00"/>
    <n v="433"/>
    <s v="Grants Pass"/>
    <n v="3610.48"/>
    <n v="3566.68"/>
    <x v="55"/>
    <x v="5"/>
    <x v="3"/>
    <n v="71.33"/>
    <n v="0.01"/>
    <n v="35.67"/>
    <n v="107"/>
  </r>
  <r>
    <d v="2026-09-04T00:00:00"/>
    <n v="452"/>
    <s v="Mobile"/>
    <n v="1933.6"/>
    <n v="1897.96"/>
    <x v="56"/>
    <x v="17"/>
    <x v="7"/>
    <n v="37.96"/>
    <n v="0.01"/>
    <n v="18.98"/>
    <n v="56.94"/>
  </r>
  <r>
    <d v="2026-09-04T00:00:00"/>
    <n v="478"/>
    <s v="Pocatello"/>
    <n v="1822.07"/>
    <n v="1784.97"/>
    <x v="57"/>
    <x v="5"/>
    <x v="3"/>
    <n v="35.700000000000003"/>
    <n v="0.01"/>
    <n v="17.850000000000001"/>
    <n v="53.550000000000004"/>
  </r>
  <r>
    <d v="2026-09-04T00:00:00"/>
    <n v="514"/>
    <s v="Spanish Fork"/>
    <n v="4206.8599999999997"/>
    <n v="4125.88"/>
    <x v="58"/>
    <x v="5"/>
    <x v="3"/>
    <n v="82.52"/>
    <n v="0.01"/>
    <n v="41.26"/>
    <n v="123.78"/>
  </r>
  <r>
    <d v="2026-09-04T00:00:00"/>
    <n v="515"/>
    <s v="Downtown Boise"/>
    <n v="2147.5700000000002"/>
    <n v="2107"/>
    <x v="59"/>
    <x v="5"/>
    <x v="3"/>
    <n v="42.14"/>
    <n v="0.01"/>
    <n v="21.07"/>
    <n v="63.21"/>
  </r>
  <r>
    <d v="2026-09-04T00:00:00"/>
    <n v="521"/>
    <s v="Boise Town Square"/>
    <n v="2284.89"/>
    <n v="2186.16"/>
    <x v="60"/>
    <x v="5"/>
    <x v="3"/>
    <n v="43.72"/>
    <n v="0.01"/>
    <n v="21.86"/>
    <n v="65.58"/>
  </r>
  <r>
    <d v="2026-09-04T00:00:00"/>
    <n v="586"/>
    <s v="Johnstown"/>
    <n v="5039.0200000000004"/>
    <n v="4933.75"/>
    <x v="61"/>
    <x v="0"/>
    <x v="0"/>
    <n v="98.68"/>
    <n v="0.05"/>
    <n v="246.69"/>
    <n v="345.37"/>
  </r>
  <r>
    <d v="2026-09-04T00:00:00"/>
    <n v="605"/>
    <s v="Campus Oaks"/>
    <n v="4671.88"/>
    <n v="4419.84"/>
    <x v="62"/>
    <x v="18"/>
    <x v="1"/>
    <n v="88.4"/>
    <n v="0.05"/>
    <n v="220.99"/>
    <n v="309.39"/>
  </r>
  <r>
    <d v="2026-09-04T00:00:00"/>
    <n v="607"/>
    <s v="Tower"/>
    <n v="4733.6899999999996"/>
    <n v="4626.87"/>
    <x v="63"/>
    <x v="0"/>
    <x v="0"/>
    <n v="92.54"/>
    <n v="0.05"/>
    <n v="231.34"/>
    <n v="323.88"/>
  </r>
  <r>
    <d v="2026-09-04T00:00:00"/>
    <n v="608"/>
    <s v="Sheridan Parkway"/>
    <n v="4702.9399999999996"/>
    <n v="4487.95"/>
    <x v="64"/>
    <x v="0"/>
    <x v="0"/>
    <n v="89.76"/>
    <n v="0.05"/>
    <n v="224.4"/>
    <n v="314.16000000000003"/>
  </r>
  <r>
    <d v="2026-09-04T00:00:00"/>
    <n v="616"/>
    <s v="Eureka"/>
    <n v="3451.78"/>
    <n v="3380.31"/>
    <x v="65"/>
    <x v="19"/>
    <x v="1"/>
    <n v="67.61"/>
    <n v="0.05"/>
    <n v="169.02"/>
    <n v="236.63"/>
  </r>
  <r>
    <d v="2026-09-04T00:00:00"/>
    <n v="617"/>
    <s v="Lowry"/>
    <n v="3558.95"/>
    <n v="3447.13"/>
    <x v="66"/>
    <x v="0"/>
    <x v="0"/>
    <n v="68.94"/>
    <n v="0.05"/>
    <n v="172.36"/>
    <n v="241.3"/>
  </r>
  <r>
    <d v="2026-09-04T00:00:00"/>
    <n v="648"/>
    <s v="Belmont Market"/>
    <n v="3478.69"/>
    <n v="3352.76"/>
    <x v="67"/>
    <x v="20"/>
    <x v="9"/>
    <n v="33.53"/>
    <n v="0.02"/>
    <n v="67.06"/>
    <n v="100.59"/>
  </r>
  <r>
    <d v="2026-09-04T00:00:00"/>
    <n v="659"/>
    <s v="Ammon"/>
    <n v="2444.4899999999998"/>
    <n v="2400.86"/>
    <x v="68"/>
    <x v="5"/>
    <x v="3"/>
    <n v="48.02"/>
    <n v="0.01"/>
    <n v="24.01"/>
    <n v="72.03"/>
  </r>
  <r>
    <d v="2026-09-04T00:00:00"/>
    <n v="699"/>
    <s v="Grand Junction"/>
    <n v="3046.11"/>
    <n v="2798.33"/>
    <x v="69"/>
    <x v="0"/>
    <x v="0"/>
    <n v="55.97"/>
    <n v="0.05"/>
    <n v="139.91999999999999"/>
    <n v="195.89"/>
  </r>
  <r>
    <d v="2026-09-04T00:00:00"/>
    <n v="711"/>
    <s v="Country Club Centre"/>
    <n v="1493.41"/>
    <n v="1395.76"/>
    <x v="70"/>
    <x v="21"/>
    <x v="9"/>
    <n v="13.96"/>
    <n v="0.01"/>
    <n v="13.96"/>
    <n v="27.92"/>
  </r>
  <r>
    <d v="2026-09-04T00:00:00"/>
    <n v="722"/>
    <s v="Creekwalk"/>
    <n v="3635.71"/>
    <n v="3543.12"/>
    <x v="71"/>
    <x v="0"/>
    <x v="0"/>
    <n v="70.86"/>
    <n v="0.02"/>
    <n v="70.86"/>
    <n v="141.72"/>
  </r>
  <r>
    <d v="2026-09-04T00:00:00"/>
    <n v="731"/>
    <s v="Naval Air Station Norfolk"/>
    <n v="1566.07"/>
    <n v="1555.57"/>
    <x v="72"/>
    <x v="22"/>
    <x v="10"/>
    <n v="7.78"/>
    <n v="0.02"/>
    <n v="31.11"/>
    <n v="38.89"/>
  </r>
  <r>
    <d v="2026-09-04T00:00:00"/>
    <n v="761"/>
    <s v="Roseburg"/>
    <n v="2392.36"/>
    <n v="2292.7199999999998"/>
    <x v="73"/>
    <x v="5"/>
    <x v="3"/>
    <n v="45.85"/>
    <n v="0.01"/>
    <n v="22.93"/>
    <n v="68.78"/>
  </r>
  <r>
    <d v="2026-09-04T00:00:00"/>
    <n v="777"/>
    <s v="Springfield-Oregon"/>
    <n v="2902.35"/>
    <n v="2701.47"/>
    <x v="74"/>
    <x v="5"/>
    <x v="3"/>
    <n v="54.03"/>
    <n v="0.01"/>
    <n v="27.01"/>
    <n v="81.040000000000006"/>
  </r>
  <r>
    <d v="2026-09-04T00:00:00"/>
    <n v="820"/>
    <s v="Churn Creek"/>
    <n v="5012.24"/>
    <n v="4824.63"/>
    <x v="75"/>
    <x v="23"/>
    <x v="1"/>
    <n v="96.49"/>
    <n v="0.05"/>
    <n v="241.23"/>
    <n v="337.71999999999997"/>
  </r>
  <r>
    <d v="2026-09-03T00:00:00"/>
    <n v="21"/>
    <s v="Park Meadows"/>
    <n v="2806.89"/>
    <n v="2756.13"/>
    <x v="0"/>
    <x v="0"/>
    <x v="0"/>
    <n v="55.12"/>
    <n v="0.05"/>
    <n v="137.81"/>
    <n v="192.93"/>
  </r>
  <r>
    <d v="2026-09-03T00:00:00"/>
    <n v="47"/>
    <s v="Redding"/>
    <n v="2611.2199999999998"/>
    <n v="2522.48"/>
    <x v="1"/>
    <x v="1"/>
    <x v="1"/>
    <n v="50.45"/>
    <n v="0.05"/>
    <n v="126.12"/>
    <n v="176.57"/>
  </r>
  <r>
    <d v="2026-09-03T00:00:00"/>
    <n v="55"/>
    <s v="Rocklin"/>
    <n v="2583.8200000000002"/>
    <n v="2488.44"/>
    <x v="2"/>
    <x v="2"/>
    <x v="1"/>
    <n v="49.77"/>
    <n v="0.05"/>
    <n v="124.42"/>
    <n v="174.19"/>
  </r>
  <r>
    <d v="2026-09-03T00:00:00"/>
    <n v="56"/>
    <s v="Livonia"/>
    <n v="3454.23"/>
    <n v="3364.17"/>
    <x v="3"/>
    <x v="3"/>
    <x v="2"/>
    <n v="67.28"/>
    <n v="0.05"/>
    <n v="168.21"/>
    <n v="235.49"/>
  </r>
  <r>
    <d v="2026-09-03T00:00:00"/>
    <n v="77"/>
    <s v="Falcon Landing"/>
    <n v="1829.83"/>
    <n v="1775.77"/>
    <x v="4"/>
    <x v="0"/>
    <x v="0"/>
    <n v="35.520000000000003"/>
    <n v="0.05"/>
    <n v="88.79"/>
    <n v="124.31"/>
  </r>
  <r>
    <d v="2026-09-03T00:00:00"/>
    <n v="93"/>
    <s v="Brighton"/>
    <n v="4909.68"/>
    <n v="4826.58"/>
    <x v="5"/>
    <x v="3"/>
    <x v="2"/>
    <n v="96.53"/>
    <n v="0.05"/>
    <n v="241.33"/>
    <n v="337.86"/>
  </r>
  <r>
    <d v="2026-09-03T00:00:00"/>
    <n v="94"/>
    <s v="Castle Rock"/>
    <n v="3356.84"/>
    <n v="3239.24"/>
    <x v="6"/>
    <x v="0"/>
    <x v="0"/>
    <n v="64.78"/>
    <n v="0.05"/>
    <n v="161.96"/>
    <n v="226.74"/>
  </r>
  <r>
    <d v="2026-09-03T00:00:00"/>
    <n v="100"/>
    <s v="Howe Bout Arden"/>
    <n v="3776.49"/>
    <n v="3740.95"/>
    <x v="7"/>
    <x v="4"/>
    <x v="1"/>
    <n v="74.819999999999993"/>
    <n v="0.05"/>
    <n v="187.05"/>
    <n v="261.87"/>
  </r>
  <r>
    <d v="2026-09-03T00:00:00"/>
    <n v="126"/>
    <s v="Bend"/>
    <n v="3436.78"/>
    <n v="3289.13"/>
    <x v="8"/>
    <x v="5"/>
    <x v="3"/>
    <n v="65.78"/>
    <n v="0.01"/>
    <n v="32.89"/>
    <n v="98.67"/>
  </r>
  <r>
    <d v="2026-09-03T00:00:00"/>
    <n v="133"/>
    <s v="Woodhill"/>
    <n v="3095.27"/>
    <n v="3002.35"/>
    <x v="9"/>
    <x v="6"/>
    <x v="4"/>
    <n v="60.05"/>
    <n v="0.05"/>
    <n v="150.12"/>
    <n v="210.17000000000002"/>
  </r>
  <r>
    <d v="2026-09-03T00:00:00"/>
    <n v="149"/>
    <s v="Westwood Plaza"/>
    <n v="2285.4699999999998"/>
    <n v="2232.59"/>
    <x v="10"/>
    <x v="6"/>
    <x v="4"/>
    <n v="44.65"/>
    <n v="0.05"/>
    <n v="111.63"/>
    <n v="156.28"/>
  </r>
  <r>
    <d v="2026-09-03T00:00:00"/>
    <n v="157"/>
    <s v="Hamburg"/>
    <n v="3520.25"/>
    <n v="3470.02"/>
    <x v="11"/>
    <x v="7"/>
    <x v="5"/>
    <n v="69.400000000000006"/>
    <n v="0.05"/>
    <n v="173.5"/>
    <n v="242.9"/>
  </r>
  <r>
    <d v="2026-09-03T00:00:00"/>
    <n v="158"/>
    <s v="McCaslin Marketplace"/>
    <n v="3580.79"/>
    <n v="3515.92"/>
    <x v="12"/>
    <x v="0"/>
    <x v="0"/>
    <n v="70.319999999999993"/>
    <n v="0.05"/>
    <n v="175.8"/>
    <n v="246.12"/>
  </r>
  <r>
    <d v="2026-09-03T00:00:00"/>
    <n v="159"/>
    <s v="North Charleston"/>
    <n v="1966.36"/>
    <n v="1935.73"/>
    <x v="13"/>
    <x v="6"/>
    <x v="4"/>
    <n v="38.71"/>
    <n v="0.05"/>
    <n v="96.79"/>
    <n v="135.5"/>
  </r>
  <r>
    <d v="2026-09-03T00:00:00"/>
    <n v="161"/>
    <s v="Chico"/>
    <n v="3546.53"/>
    <n v="3494.62"/>
    <x v="14"/>
    <x v="8"/>
    <x v="1"/>
    <n v="69.89"/>
    <n v="0.05"/>
    <n v="174.73"/>
    <n v="244.62"/>
  </r>
  <r>
    <d v="2026-09-03T00:00:00"/>
    <n v="163"/>
    <s v="Forest Trace"/>
    <n v="3941.06"/>
    <n v="3862.16"/>
    <x v="15"/>
    <x v="0"/>
    <x v="0"/>
    <n v="77.239999999999995"/>
    <n v="0.05"/>
    <n v="193.11"/>
    <n v="270.35000000000002"/>
  </r>
  <r>
    <d v="2026-09-03T00:00:00"/>
    <n v="166"/>
    <s v="Centre Avenue"/>
    <n v="3029.86"/>
    <n v="2931.98"/>
    <x v="16"/>
    <x v="0"/>
    <x v="0"/>
    <n v="58.64"/>
    <n v="0.05"/>
    <n v="146.6"/>
    <n v="205.24"/>
  </r>
  <r>
    <d v="2026-09-03T00:00:00"/>
    <n v="172"/>
    <s v="Oakway"/>
    <n v="3178.29"/>
    <n v="3133.12"/>
    <x v="17"/>
    <x v="5"/>
    <x v="3"/>
    <n v="62.66"/>
    <n v="0.01"/>
    <n v="31.33"/>
    <n v="93.99"/>
  </r>
  <r>
    <d v="2026-09-03T00:00:00"/>
    <n v="204"/>
    <s v="North Medford"/>
    <n v="3383.51"/>
    <n v="3293.46"/>
    <x v="18"/>
    <x v="5"/>
    <x v="3"/>
    <n v="65.87"/>
    <n v="0.01"/>
    <n v="32.93"/>
    <n v="98.800000000000011"/>
  </r>
  <r>
    <d v="2026-09-03T00:00:00"/>
    <n v="210"/>
    <s v="South Eugene"/>
    <n v="1804.78"/>
    <n v="1785.09"/>
    <x v="19"/>
    <x v="5"/>
    <x v="3"/>
    <n v="35.700000000000003"/>
    <n v="0.01"/>
    <n v="17.850000000000001"/>
    <n v="53.550000000000004"/>
  </r>
  <r>
    <d v="2026-09-03T00:00:00"/>
    <n v="212"/>
    <s v="Woodland"/>
    <n v="2421.09"/>
    <n v="2357.46"/>
    <x v="20"/>
    <x v="9"/>
    <x v="1"/>
    <n v="47.15"/>
    <n v="0.05"/>
    <n v="117.87"/>
    <n v="165.02"/>
  </r>
  <r>
    <d v="2026-09-03T00:00:00"/>
    <n v="216"/>
    <s v="NE Columbia"/>
    <n v="2402.21"/>
    <n v="2332.1"/>
    <x v="21"/>
    <x v="6"/>
    <x v="4"/>
    <n v="46.64"/>
    <n v="0.05"/>
    <n v="116.61"/>
    <n v="163.25"/>
  </r>
  <r>
    <d v="2026-09-03T00:00:00"/>
    <n v="228"/>
    <s v="Auburn Village"/>
    <n v="1352.59"/>
    <n v="1332.76"/>
    <x v="22"/>
    <x v="10"/>
    <x v="1"/>
    <n v="26.66"/>
    <n v="0.05"/>
    <n v="66.64"/>
    <n v="93.3"/>
  </r>
  <r>
    <d v="2026-09-03T00:00:00"/>
    <n v="231"/>
    <s v="Kennesaw"/>
    <n v="2233.5"/>
    <n v="2209.06"/>
    <x v="23"/>
    <x v="11"/>
    <x v="6"/>
    <n v="44.18"/>
    <n v="0.05"/>
    <n v="110.45"/>
    <n v="154.63"/>
  </r>
  <r>
    <d v="2026-09-03T00:00:00"/>
    <n v="241"/>
    <s v="Woods Cross"/>
    <n v="2481.35"/>
    <n v="2390.1799999999998"/>
    <x v="24"/>
    <x v="5"/>
    <x v="3"/>
    <n v="47.8"/>
    <n v="0.01"/>
    <n v="23.9"/>
    <n v="71.699999999999989"/>
  </r>
  <r>
    <d v="2026-09-03T00:00:00"/>
    <n v="244"/>
    <s v="Redfield Promenade"/>
    <n v="2098.3000000000002"/>
    <n v="2066.79"/>
    <x v="25"/>
    <x v="12"/>
    <x v="1"/>
    <n v="41.34"/>
    <n v="0.05"/>
    <n v="103.34"/>
    <n v="144.68"/>
  </r>
  <r>
    <d v="2026-09-03T00:00:00"/>
    <n v="245"/>
    <s v="Evansville"/>
    <n v="1555.55"/>
    <n v="1429.93"/>
    <x v="26"/>
    <x v="7"/>
    <x v="5"/>
    <n v="28.6"/>
    <n v="0.05"/>
    <n v="71.5"/>
    <n v="100.1"/>
  </r>
  <r>
    <d v="2026-09-03T00:00:00"/>
    <n v="251"/>
    <s v="Westminster Promenade"/>
    <n v="4402.55"/>
    <n v="4305.28"/>
    <x v="27"/>
    <x v="0"/>
    <x v="0"/>
    <n v="86.11"/>
    <n v="0.05"/>
    <n v="215.26"/>
    <n v="301.37"/>
  </r>
  <r>
    <d v="2026-09-03T00:00:00"/>
    <n v="253"/>
    <s v="Park City"/>
    <n v="2384.2600000000002"/>
    <n v="2358.19"/>
    <x v="28"/>
    <x v="5"/>
    <x v="3"/>
    <n v="47.16"/>
    <n v="0.01"/>
    <n v="23.58"/>
    <n v="70.739999999999995"/>
  </r>
  <r>
    <d v="2026-09-03T00:00:00"/>
    <n v="256"/>
    <s v="South Academy Highlands"/>
    <n v="3160.39"/>
    <n v="3045.6"/>
    <x v="29"/>
    <x v="0"/>
    <x v="0"/>
    <n v="60.91"/>
    <n v="0.05"/>
    <n v="152.28"/>
    <n v="213.19"/>
  </r>
  <r>
    <d v="2026-09-03T00:00:00"/>
    <n v="258"/>
    <s v="Riverdale"/>
    <n v="2534.66"/>
    <n v="2511.4699999999998"/>
    <x v="30"/>
    <x v="5"/>
    <x v="3"/>
    <n v="50.23"/>
    <n v="0.01"/>
    <n v="25.11"/>
    <n v="75.34"/>
  </r>
  <r>
    <d v="2026-09-03T00:00:00"/>
    <n v="260"/>
    <s v="Highlands Ranch"/>
    <n v="4581.03"/>
    <n v="4498.83"/>
    <x v="31"/>
    <x v="0"/>
    <x v="0"/>
    <n v="89.98"/>
    <n v="0.05"/>
    <n v="224.94"/>
    <n v="314.92"/>
  </r>
  <r>
    <d v="2026-09-03T00:00:00"/>
    <n v="265"/>
    <s v="Dublin Commons"/>
    <n v="4670.3100000000004"/>
    <n v="4586.41"/>
    <x v="32"/>
    <x v="0"/>
    <x v="0"/>
    <n v="91.73"/>
    <n v="0.05"/>
    <n v="229.32"/>
    <n v="321.05"/>
  </r>
  <r>
    <d v="2026-09-03T00:00:00"/>
    <n v="267"/>
    <s v="Decatur"/>
    <n v="1351.39"/>
    <n v="1336.1"/>
    <x v="33"/>
    <x v="13"/>
    <x v="7"/>
    <n v="26.72"/>
    <n v="0.01"/>
    <n v="13.36"/>
    <n v="40.08"/>
  </r>
  <r>
    <d v="2026-09-03T00:00:00"/>
    <n v="272"/>
    <s v="Northfield Commons"/>
    <n v="2957.8"/>
    <n v="2818.51"/>
    <x v="34"/>
    <x v="0"/>
    <x v="0"/>
    <n v="56.37"/>
    <n v="0.05"/>
    <n v="140.93"/>
    <n v="197.3"/>
  </r>
  <r>
    <d v="2026-09-03T00:00:00"/>
    <n v="278"/>
    <s v="Diamond Circle"/>
    <n v="2517.5500000000002"/>
    <n v="2478.84"/>
    <x v="35"/>
    <x v="0"/>
    <x v="0"/>
    <n v="49.58"/>
    <n v="0.05"/>
    <n v="123.94"/>
    <n v="173.51999999999998"/>
  </r>
  <r>
    <d v="2026-09-03T00:00:00"/>
    <n v="279"/>
    <s v="Lexington"/>
    <n v="2723.97"/>
    <n v="2677.81"/>
    <x v="36"/>
    <x v="6"/>
    <x v="4"/>
    <n v="53.56"/>
    <n v="0.05"/>
    <n v="133.88999999999999"/>
    <n v="187.45"/>
  </r>
  <r>
    <d v="2026-09-03T00:00:00"/>
    <n v="285"/>
    <s v="Polaris Pointe"/>
    <n v="4474.55"/>
    <n v="4331.4799999999996"/>
    <x v="37"/>
    <x v="0"/>
    <x v="0"/>
    <n v="86.63"/>
    <n v="0.05"/>
    <n v="216.57"/>
    <n v="303.2"/>
  </r>
  <r>
    <d v="2026-09-03T00:00:00"/>
    <n v="292"/>
    <s v="Greeley"/>
    <n v="2181.4299999999998"/>
    <n v="2178.44"/>
    <x v="38"/>
    <x v="0"/>
    <x v="0"/>
    <n v="43.57"/>
    <n v="0.05"/>
    <n v="108.92"/>
    <n v="152.49"/>
  </r>
  <r>
    <d v="2026-09-03T00:00:00"/>
    <n v="293"/>
    <s v="West Sacramento"/>
    <n v="2027.91"/>
    <n v="1991.19"/>
    <x v="39"/>
    <x v="14"/>
    <x v="1"/>
    <n v="39.82"/>
    <n v="0.05"/>
    <n v="99.56"/>
    <n v="139.38"/>
  </r>
  <r>
    <d v="2026-09-03T00:00:00"/>
    <n v="296"/>
    <s v="Rancho Cordova"/>
    <n v="2455.73"/>
    <n v="2396.5500000000002"/>
    <x v="40"/>
    <x v="15"/>
    <x v="1"/>
    <n v="47.93"/>
    <n v="0.05"/>
    <n v="119.83"/>
    <n v="167.76"/>
  </r>
  <r>
    <d v="2026-09-03T00:00:00"/>
    <n v="324"/>
    <s v="American Fork"/>
    <n v="2193.34"/>
    <n v="2181.56"/>
    <x v="41"/>
    <x v="5"/>
    <x v="3"/>
    <n v="43.63"/>
    <n v="0.01"/>
    <n v="21.82"/>
    <n v="65.45"/>
  </r>
  <r>
    <d v="2026-09-03T00:00:00"/>
    <n v="325"/>
    <s v="Sugar House"/>
    <n v="1797.82"/>
    <n v="1731.08"/>
    <x v="42"/>
    <x v="5"/>
    <x v="3"/>
    <n v="34.619999999999997"/>
    <n v="0.01"/>
    <n v="17.309999999999999"/>
    <n v="51.929999999999993"/>
  </r>
  <r>
    <d v="2026-09-03T00:00:00"/>
    <n v="332"/>
    <s v="Riverton"/>
    <n v="1909.07"/>
    <n v="1879.99"/>
    <x v="43"/>
    <x v="5"/>
    <x v="3"/>
    <n v="37.6"/>
    <n v="0.01"/>
    <n v="18.8"/>
    <n v="56.400000000000006"/>
  </r>
  <r>
    <d v="2026-09-03T00:00:00"/>
    <n v="334"/>
    <s v="Layton"/>
    <n v="1867.89"/>
    <n v="1814.9"/>
    <x v="44"/>
    <x v="5"/>
    <x v="3"/>
    <n v="36.299999999999997"/>
    <n v="0.01"/>
    <n v="18.149999999999999"/>
    <n v="54.449999999999996"/>
  </r>
  <r>
    <d v="2026-09-03T00:00:00"/>
    <n v="338"/>
    <s v="Augusta Exchange"/>
    <n v="1844.87"/>
    <n v="1769.38"/>
    <x v="45"/>
    <x v="6"/>
    <x v="4"/>
    <n v="35.39"/>
    <n v="0.05"/>
    <n v="88.47"/>
    <n v="123.86"/>
  </r>
  <r>
    <d v="2026-09-03T00:00:00"/>
    <n v="348"/>
    <s v="Bend North"/>
    <n v="4061"/>
    <n v="3971.25"/>
    <x v="46"/>
    <x v="5"/>
    <x v="3"/>
    <n v="79.430000000000007"/>
    <n v="0.01"/>
    <n v="39.71"/>
    <n v="119.14000000000001"/>
  </r>
  <r>
    <d v="2026-09-03T00:00:00"/>
    <n v="349"/>
    <s v="South Medford"/>
    <n v="2919.87"/>
    <n v="2899.19"/>
    <x v="47"/>
    <x v="5"/>
    <x v="3"/>
    <n v="57.98"/>
    <n v="0.01"/>
    <n v="28.99"/>
    <n v="86.97"/>
  </r>
  <r>
    <d v="2026-09-03T00:00:00"/>
    <n v="352"/>
    <s v="Georgetown"/>
    <n v="1946.56"/>
    <n v="1853.54"/>
    <x v="48"/>
    <x v="7"/>
    <x v="5"/>
    <n v="37.07"/>
    <n v="0.05"/>
    <n v="92.68"/>
    <n v="129.75"/>
  </r>
  <r>
    <d v="2026-09-03T00:00:00"/>
    <n v="366"/>
    <s v="Saratoga Springs"/>
    <n v="2718.01"/>
    <n v="2550.63"/>
    <x v="49"/>
    <x v="5"/>
    <x v="3"/>
    <n v="51.01"/>
    <n v="0.01"/>
    <n v="25.51"/>
    <n v="76.52"/>
  </r>
  <r>
    <d v="2026-09-03T00:00:00"/>
    <n v="384"/>
    <s v="Ralston Creek"/>
    <n v="3364.4"/>
    <n v="3282.52"/>
    <x v="50"/>
    <x v="0"/>
    <x v="0"/>
    <n v="65.650000000000006"/>
    <n v="0.05"/>
    <n v="164.13"/>
    <n v="229.78"/>
  </r>
  <r>
    <d v="2026-09-03T00:00:00"/>
    <n v="413"/>
    <s v="Madison"/>
    <n v="1281.54"/>
    <n v="1271.04"/>
    <x v="51"/>
    <x v="16"/>
    <x v="8"/>
    <n v="25.42"/>
    <n v="0.01"/>
    <n v="12.71"/>
    <n v="38.130000000000003"/>
  </r>
  <r>
    <d v="2026-09-03T00:00:00"/>
    <n v="421"/>
    <s v="Fort Union"/>
    <n v="2692.74"/>
    <n v="2574.46"/>
    <x v="52"/>
    <x v="5"/>
    <x v="3"/>
    <n v="51.49"/>
    <n v="0.01"/>
    <n v="25.74"/>
    <n v="77.23"/>
  </r>
  <r>
    <d v="2026-09-03T00:00:00"/>
    <n v="425"/>
    <s v="Crown Point"/>
    <n v="3448.88"/>
    <n v="3359.22"/>
    <x v="53"/>
    <x v="0"/>
    <x v="0"/>
    <n v="67.180000000000007"/>
    <n v="0.05"/>
    <n v="167.96"/>
    <n v="235.14000000000001"/>
  </r>
  <r>
    <d v="2026-09-03T00:00:00"/>
    <n v="429"/>
    <s v="South Jordan"/>
    <n v="1895.35"/>
    <n v="1849.31"/>
    <x v="54"/>
    <x v="5"/>
    <x v="3"/>
    <n v="36.99"/>
    <n v="0.01"/>
    <n v="18.489999999999998"/>
    <n v="55.480000000000004"/>
  </r>
  <r>
    <d v="2026-09-03T00:00:00"/>
    <n v="433"/>
    <s v="Grants Pass"/>
    <n v="2159.27"/>
    <n v="2101.2600000000002"/>
    <x v="55"/>
    <x v="5"/>
    <x v="3"/>
    <n v="42.03"/>
    <n v="0.01"/>
    <n v="21.01"/>
    <n v="63.040000000000006"/>
  </r>
  <r>
    <d v="2026-09-03T00:00:00"/>
    <n v="452"/>
    <s v="Mobile"/>
    <n v="1324.77"/>
    <n v="1310.77"/>
    <x v="56"/>
    <x v="17"/>
    <x v="7"/>
    <n v="26.22"/>
    <n v="0.01"/>
    <n v="13.11"/>
    <n v="39.33"/>
  </r>
  <r>
    <d v="2026-09-03T00:00:00"/>
    <n v="478"/>
    <s v="Pocatello"/>
    <n v="1285.8900000000001"/>
    <n v="1238.6199999999999"/>
    <x v="57"/>
    <x v="5"/>
    <x v="3"/>
    <n v="24.77"/>
    <n v="0.01"/>
    <n v="12.39"/>
    <n v="37.159999999999997"/>
  </r>
  <r>
    <d v="2026-09-03T00:00:00"/>
    <n v="514"/>
    <s v="Spanish Fork"/>
    <n v="2605.2199999999998"/>
    <n v="2554.67"/>
    <x v="58"/>
    <x v="5"/>
    <x v="3"/>
    <n v="51.09"/>
    <n v="0.01"/>
    <n v="25.55"/>
    <n v="76.64"/>
  </r>
  <r>
    <d v="2026-09-03T00:00:00"/>
    <n v="515"/>
    <s v="Downtown Boise"/>
    <n v="1984.79"/>
    <n v="1983.48"/>
    <x v="59"/>
    <x v="5"/>
    <x v="3"/>
    <n v="39.67"/>
    <n v="0.01"/>
    <n v="19.829999999999998"/>
    <n v="59.5"/>
  </r>
  <r>
    <d v="2026-09-03T00:00:00"/>
    <n v="521"/>
    <s v="Boise Town Square"/>
    <n v="1990.62"/>
    <n v="1926.17"/>
    <x v="60"/>
    <x v="5"/>
    <x v="3"/>
    <n v="38.520000000000003"/>
    <n v="0.01"/>
    <n v="19.260000000000002"/>
    <n v="57.78"/>
  </r>
  <r>
    <d v="2026-09-03T00:00:00"/>
    <n v="586"/>
    <s v="Johnstown"/>
    <n v="3589.1"/>
    <n v="3521.9"/>
    <x v="61"/>
    <x v="0"/>
    <x v="0"/>
    <n v="70.44"/>
    <n v="0.05"/>
    <n v="176.1"/>
    <n v="246.54"/>
  </r>
  <r>
    <d v="2026-09-03T00:00:00"/>
    <n v="605"/>
    <s v="Campus Oaks"/>
    <n v="2906.59"/>
    <n v="2842.81"/>
    <x v="62"/>
    <x v="18"/>
    <x v="1"/>
    <n v="56.86"/>
    <n v="0.05"/>
    <n v="142.13999999999999"/>
    <n v="199"/>
  </r>
  <r>
    <d v="2026-09-03T00:00:00"/>
    <n v="607"/>
    <s v="Tower"/>
    <n v="3212.91"/>
    <n v="3161.03"/>
    <x v="63"/>
    <x v="0"/>
    <x v="0"/>
    <n v="63.22"/>
    <n v="0.05"/>
    <n v="158.05000000000001"/>
    <n v="221.27"/>
  </r>
  <r>
    <d v="2026-09-03T00:00:00"/>
    <n v="608"/>
    <s v="Sheridan Parkway"/>
    <n v="3459.01"/>
    <n v="3368.68"/>
    <x v="64"/>
    <x v="0"/>
    <x v="0"/>
    <n v="67.37"/>
    <n v="0.05"/>
    <n v="168.43"/>
    <n v="235.8"/>
  </r>
  <r>
    <d v="2026-09-03T00:00:00"/>
    <n v="616"/>
    <s v="Eureka"/>
    <n v="2597.09"/>
    <n v="2499.04"/>
    <x v="65"/>
    <x v="19"/>
    <x v="1"/>
    <n v="49.98"/>
    <n v="0.05"/>
    <n v="124.95"/>
    <n v="174.93"/>
  </r>
  <r>
    <d v="2026-09-03T00:00:00"/>
    <n v="617"/>
    <s v="Lowry"/>
    <n v="2217.0700000000002"/>
    <n v="2160.96"/>
    <x v="66"/>
    <x v="0"/>
    <x v="0"/>
    <n v="43.22"/>
    <n v="0.05"/>
    <n v="108.05"/>
    <n v="151.26999999999998"/>
  </r>
  <r>
    <d v="2026-09-03T00:00:00"/>
    <n v="648"/>
    <s v="Belmont Market"/>
    <n v="2893.59"/>
    <n v="2722.47"/>
    <x v="67"/>
    <x v="20"/>
    <x v="9"/>
    <n v="27.22"/>
    <n v="0.02"/>
    <n v="54.45"/>
    <n v="81.67"/>
  </r>
  <r>
    <d v="2026-09-03T00:00:00"/>
    <n v="659"/>
    <s v="Ammon"/>
    <n v="1892.57"/>
    <n v="1840.12"/>
    <x v="68"/>
    <x v="5"/>
    <x v="3"/>
    <n v="36.799999999999997"/>
    <n v="0.01"/>
    <n v="18.399999999999999"/>
    <n v="55.199999999999996"/>
  </r>
  <r>
    <d v="2026-09-03T00:00:00"/>
    <n v="699"/>
    <s v="Grand Junction"/>
    <n v="2591.71"/>
    <n v="2558.7600000000002"/>
    <x v="69"/>
    <x v="0"/>
    <x v="0"/>
    <n v="51.18"/>
    <n v="0.05"/>
    <n v="127.94"/>
    <n v="179.12"/>
  </r>
  <r>
    <d v="2026-09-03T00:00:00"/>
    <n v="711"/>
    <s v="Country Club Centre"/>
    <n v="1189.1500000000001"/>
    <n v="1128.29"/>
    <x v="70"/>
    <x v="21"/>
    <x v="9"/>
    <n v="11.28"/>
    <n v="0.01"/>
    <n v="11.28"/>
    <n v="22.56"/>
  </r>
  <r>
    <d v="2026-09-03T00:00:00"/>
    <n v="722"/>
    <s v="Creekwalk"/>
    <n v="2784.09"/>
    <n v="2644.45"/>
    <x v="71"/>
    <x v="0"/>
    <x v="0"/>
    <n v="52.89"/>
    <n v="0.02"/>
    <n v="52.89"/>
    <n v="105.78"/>
  </r>
  <r>
    <d v="2026-09-03T00:00:00"/>
    <n v="731"/>
    <s v="Naval Air Station Norfolk"/>
    <n v="1660.89"/>
    <n v="1645.85"/>
    <x v="72"/>
    <x v="22"/>
    <x v="10"/>
    <n v="8.23"/>
    <n v="0.02"/>
    <n v="32.92"/>
    <n v="41.150000000000006"/>
  </r>
  <r>
    <d v="2026-09-03T00:00:00"/>
    <n v="761"/>
    <s v="Roseburg"/>
    <n v="1751.92"/>
    <n v="1698.09"/>
    <x v="73"/>
    <x v="5"/>
    <x v="3"/>
    <n v="33.96"/>
    <n v="0.01"/>
    <n v="16.98"/>
    <n v="50.94"/>
  </r>
  <r>
    <d v="2026-09-03T00:00:00"/>
    <n v="777"/>
    <s v="Springfield-Oregon"/>
    <n v="1725.31"/>
    <n v="1696.89"/>
    <x v="74"/>
    <x v="5"/>
    <x v="3"/>
    <n v="33.94"/>
    <n v="0.01"/>
    <n v="16.97"/>
    <n v="50.91"/>
  </r>
  <r>
    <d v="2026-09-03T00:00:00"/>
    <n v="820"/>
    <s v="Churn Creek"/>
    <n v="3782.62"/>
    <n v="3643.41"/>
    <x v="75"/>
    <x v="23"/>
    <x v="1"/>
    <n v="72.87"/>
    <n v="0.05"/>
    <n v="182.17"/>
    <n v="255.04"/>
  </r>
  <r>
    <d v="2026-09-02T00:00:00"/>
    <n v="21"/>
    <s v="Park Meadows"/>
    <n v="3634.21"/>
    <n v="3494.6"/>
    <x v="0"/>
    <x v="0"/>
    <x v="0"/>
    <n v="69.89"/>
    <n v="0.05"/>
    <n v="174.73"/>
    <n v="244.62"/>
  </r>
  <r>
    <d v="2026-09-02T00:00:00"/>
    <n v="47"/>
    <s v="Redding"/>
    <n v="3134.52"/>
    <n v="3073.92"/>
    <x v="1"/>
    <x v="1"/>
    <x v="1"/>
    <n v="61.48"/>
    <n v="0.05"/>
    <n v="153.69999999999999"/>
    <n v="215.17999999999998"/>
  </r>
  <r>
    <d v="2026-09-02T00:00:00"/>
    <n v="55"/>
    <s v="Rocklin"/>
    <n v="2215.8000000000002"/>
    <n v="2139.62"/>
    <x v="2"/>
    <x v="2"/>
    <x v="1"/>
    <n v="42.79"/>
    <n v="0.05"/>
    <n v="106.98"/>
    <n v="149.77000000000001"/>
  </r>
  <r>
    <d v="2026-09-02T00:00:00"/>
    <n v="56"/>
    <s v="Livonia"/>
    <n v="3579.91"/>
    <n v="3553.06"/>
    <x v="3"/>
    <x v="3"/>
    <x v="2"/>
    <n v="71.06"/>
    <n v="0.05"/>
    <n v="177.65"/>
    <n v="248.71"/>
  </r>
  <r>
    <d v="2026-09-02T00:00:00"/>
    <n v="77"/>
    <s v="Falcon Landing"/>
    <n v="1964.11"/>
    <n v="1915.76"/>
    <x v="4"/>
    <x v="0"/>
    <x v="0"/>
    <n v="38.32"/>
    <n v="0.05"/>
    <n v="95.79"/>
    <n v="134.11000000000001"/>
  </r>
  <r>
    <d v="2026-09-02T00:00:00"/>
    <n v="93"/>
    <s v="Brighton"/>
    <n v="2783.98"/>
    <n v="2720.62"/>
    <x v="5"/>
    <x v="3"/>
    <x v="2"/>
    <n v="54.41"/>
    <n v="0.05"/>
    <n v="136.03"/>
    <n v="190.44"/>
  </r>
  <r>
    <d v="2026-09-02T00:00:00"/>
    <n v="94"/>
    <s v="Castle Rock"/>
    <n v="3678.5"/>
    <n v="3516.12"/>
    <x v="6"/>
    <x v="0"/>
    <x v="0"/>
    <n v="70.319999999999993"/>
    <n v="0.05"/>
    <n v="175.81"/>
    <n v="246.13"/>
  </r>
  <r>
    <d v="2026-09-02T00:00:00"/>
    <n v="100"/>
    <s v="Howe Bout Arden"/>
    <n v="3441.17"/>
    <n v="3395.01"/>
    <x v="7"/>
    <x v="4"/>
    <x v="1"/>
    <n v="67.900000000000006"/>
    <n v="0.05"/>
    <n v="169.75"/>
    <n v="237.65"/>
  </r>
  <r>
    <d v="2026-09-02T00:00:00"/>
    <n v="126"/>
    <s v="Bend"/>
    <n v="3424.23"/>
    <n v="3322.88"/>
    <x v="8"/>
    <x v="5"/>
    <x v="3"/>
    <n v="66.459999999999994"/>
    <n v="0.01"/>
    <n v="33.229999999999997"/>
    <n v="99.69"/>
  </r>
  <r>
    <d v="2026-09-02T00:00:00"/>
    <n v="133"/>
    <s v="Woodhill"/>
    <n v="2669.97"/>
    <n v="2621.3200000000002"/>
    <x v="9"/>
    <x v="6"/>
    <x v="4"/>
    <n v="52.43"/>
    <n v="0.05"/>
    <n v="131.07"/>
    <n v="183.5"/>
  </r>
  <r>
    <d v="2026-09-02T00:00:00"/>
    <n v="149"/>
    <s v="Westwood Plaza"/>
    <n v="1942.49"/>
    <n v="1897.83"/>
    <x v="10"/>
    <x v="6"/>
    <x v="4"/>
    <n v="37.96"/>
    <n v="0.05"/>
    <n v="94.89"/>
    <n v="132.85"/>
  </r>
  <r>
    <d v="2026-09-02T00:00:00"/>
    <n v="157"/>
    <s v="Hamburg"/>
    <n v="1923.24"/>
    <n v="1893.39"/>
    <x v="11"/>
    <x v="7"/>
    <x v="5"/>
    <n v="37.869999999999997"/>
    <n v="0.05"/>
    <n v="94.67"/>
    <n v="132.54"/>
  </r>
  <r>
    <d v="2026-09-02T00:00:00"/>
    <n v="158"/>
    <s v="McCaslin Marketplace"/>
    <n v="3477.06"/>
    <n v="3401.73"/>
    <x v="12"/>
    <x v="0"/>
    <x v="0"/>
    <n v="68.03"/>
    <n v="0.05"/>
    <n v="170.09"/>
    <n v="238.12"/>
  </r>
  <r>
    <d v="2026-09-02T00:00:00"/>
    <n v="159"/>
    <s v="North Charleston"/>
    <n v="1621.67"/>
    <n v="1589.06"/>
    <x v="13"/>
    <x v="6"/>
    <x v="4"/>
    <n v="31.78"/>
    <n v="0.05"/>
    <n v="79.45"/>
    <n v="111.23"/>
  </r>
  <r>
    <d v="2026-09-02T00:00:00"/>
    <n v="161"/>
    <s v="Chico"/>
    <n v="3770.13"/>
    <n v="3698.73"/>
    <x v="14"/>
    <x v="8"/>
    <x v="1"/>
    <n v="73.97"/>
    <n v="0.05"/>
    <n v="184.94"/>
    <n v="258.90999999999997"/>
  </r>
  <r>
    <d v="2026-09-02T00:00:00"/>
    <n v="163"/>
    <s v="Forest Trace"/>
    <n v="3866.26"/>
    <n v="3765.52"/>
    <x v="15"/>
    <x v="0"/>
    <x v="0"/>
    <n v="75.31"/>
    <n v="0.05"/>
    <n v="188.28"/>
    <n v="263.59000000000003"/>
  </r>
  <r>
    <d v="2026-09-02T00:00:00"/>
    <n v="166"/>
    <s v="Centre Avenue"/>
    <n v="4918.62"/>
    <n v="4898.5"/>
    <x v="16"/>
    <x v="0"/>
    <x v="0"/>
    <n v="97.97"/>
    <n v="0.05"/>
    <n v="244.93"/>
    <n v="342.9"/>
  </r>
  <r>
    <d v="2026-09-02T00:00:00"/>
    <n v="172"/>
    <s v="Oakway"/>
    <n v="2874.57"/>
    <n v="2842.9"/>
    <x v="17"/>
    <x v="5"/>
    <x v="3"/>
    <n v="56.86"/>
    <n v="0.01"/>
    <n v="28.43"/>
    <n v="85.289999999999992"/>
  </r>
  <r>
    <d v="2026-09-02T00:00:00"/>
    <n v="204"/>
    <s v="North Medford"/>
    <n v="2692.13"/>
    <n v="2649.24"/>
    <x v="18"/>
    <x v="5"/>
    <x v="3"/>
    <n v="52.98"/>
    <n v="0.01"/>
    <n v="26.49"/>
    <n v="79.47"/>
  </r>
  <r>
    <d v="2026-09-02T00:00:00"/>
    <n v="210"/>
    <s v="South Eugene"/>
    <n v="2355.27"/>
    <n v="2292.06"/>
    <x v="19"/>
    <x v="5"/>
    <x v="3"/>
    <n v="45.84"/>
    <n v="0.01"/>
    <n v="22.92"/>
    <n v="68.760000000000005"/>
  </r>
  <r>
    <d v="2026-09-02T00:00:00"/>
    <n v="212"/>
    <s v="Woodland"/>
    <n v="2630.06"/>
    <n v="2554.5"/>
    <x v="20"/>
    <x v="9"/>
    <x v="1"/>
    <n v="51.09"/>
    <n v="0.05"/>
    <n v="127.73"/>
    <n v="178.82"/>
  </r>
  <r>
    <d v="2026-09-02T00:00:00"/>
    <n v="216"/>
    <s v="NE Columbia"/>
    <n v="1972.09"/>
    <n v="1877.49"/>
    <x v="21"/>
    <x v="6"/>
    <x v="4"/>
    <n v="37.549999999999997"/>
    <n v="0.05"/>
    <n v="93.87"/>
    <n v="131.42000000000002"/>
  </r>
  <r>
    <d v="2026-09-02T00:00:00"/>
    <n v="228"/>
    <s v="Auburn Village"/>
    <n v="1762.64"/>
    <n v="1748.22"/>
    <x v="22"/>
    <x v="10"/>
    <x v="1"/>
    <n v="34.96"/>
    <n v="0.05"/>
    <n v="87.41"/>
    <n v="122.37"/>
  </r>
  <r>
    <d v="2026-09-02T00:00:00"/>
    <n v="231"/>
    <s v="Kennesaw"/>
    <n v="2116.0500000000002"/>
    <n v="2103.91"/>
    <x v="23"/>
    <x v="11"/>
    <x v="6"/>
    <n v="42.08"/>
    <n v="0.05"/>
    <n v="105.2"/>
    <n v="147.28"/>
  </r>
  <r>
    <d v="2026-09-02T00:00:00"/>
    <n v="241"/>
    <s v="Woods Cross"/>
    <n v="2545.06"/>
    <n v="2529.14"/>
    <x v="24"/>
    <x v="5"/>
    <x v="3"/>
    <n v="50.58"/>
    <n v="0.01"/>
    <n v="25.29"/>
    <n v="75.87"/>
  </r>
  <r>
    <d v="2026-09-02T00:00:00"/>
    <n v="244"/>
    <s v="Redfield Promenade"/>
    <n v="1691.62"/>
    <n v="1655.86"/>
    <x v="25"/>
    <x v="12"/>
    <x v="1"/>
    <n v="33.119999999999997"/>
    <n v="0.05"/>
    <n v="82.79"/>
    <n v="115.91"/>
  </r>
  <r>
    <d v="2026-09-02T00:00:00"/>
    <n v="245"/>
    <s v="Evansville"/>
    <n v="1793.03"/>
    <n v="1710.86"/>
    <x v="26"/>
    <x v="7"/>
    <x v="5"/>
    <n v="34.22"/>
    <n v="0.05"/>
    <n v="85.54"/>
    <n v="119.76"/>
  </r>
  <r>
    <d v="2026-09-02T00:00:00"/>
    <n v="251"/>
    <s v="Westminster Promenade"/>
    <n v="3710.39"/>
    <n v="3678.44"/>
    <x v="27"/>
    <x v="0"/>
    <x v="0"/>
    <n v="73.569999999999993"/>
    <n v="0.05"/>
    <n v="183.92"/>
    <n v="257.49"/>
  </r>
  <r>
    <d v="2026-09-02T00:00:00"/>
    <n v="253"/>
    <s v="Park City"/>
    <n v="1666.02"/>
    <n v="1652.58"/>
    <x v="28"/>
    <x v="5"/>
    <x v="3"/>
    <n v="33.049999999999997"/>
    <n v="0.01"/>
    <n v="16.53"/>
    <n v="49.58"/>
  </r>
  <r>
    <d v="2026-09-02T00:00:00"/>
    <n v="256"/>
    <s v="South Academy Highlands"/>
    <n v="3264.76"/>
    <n v="3145.25"/>
    <x v="29"/>
    <x v="0"/>
    <x v="0"/>
    <n v="62.91"/>
    <n v="0.05"/>
    <n v="157.26"/>
    <n v="220.17"/>
  </r>
  <r>
    <d v="2026-09-02T00:00:00"/>
    <n v="258"/>
    <s v="Riverdale"/>
    <n v="1940.9"/>
    <n v="1901.08"/>
    <x v="30"/>
    <x v="5"/>
    <x v="3"/>
    <n v="38.020000000000003"/>
    <n v="0.01"/>
    <n v="19.010000000000002"/>
    <n v="57.03"/>
  </r>
  <r>
    <d v="2026-09-02T00:00:00"/>
    <n v="260"/>
    <s v="Highlands Ranch"/>
    <n v="3531.92"/>
    <n v="3433.28"/>
    <x v="31"/>
    <x v="0"/>
    <x v="0"/>
    <n v="68.67"/>
    <n v="0.05"/>
    <n v="171.66"/>
    <n v="240.32999999999998"/>
  </r>
  <r>
    <d v="2026-09-02T00:00:00"/>
    <n v="265"/>
    <s v="Dublin Commons"/>
    <n v="3867.29"/>
    <n v="3788.77"/>
    <x v="32"/>
    <x v="0"/>
    <x v="0"/>
    <n v="75.78"/>
    <n v="0.05"/>
    <n v="189.44"/>
    <n v="265.22000000000003"/>
  </r>
  <r>
    <d v="2026-09-02T00:00:00"/>
    <n v="267"/>
    <s v="Decatur"/>
    <n v="1133.2"/>
    <n v="1126.92"/>
    <x v="33"/>
    <x v="13"/>
    <x v="7"/>
    <n v="22.54"/>
    <n v="0.01"/>
    <n v="11.27"/>
    <n v="33.81"/>
  </r>
  <r>
    <d v="2026-09-02T00:00:00"/>
    <n v="272"/>
    <s v="Northfield Commons"/>
    <n v="3603.11"/>
    <n v="3574.73"/>
    <x v="34"/>
    <x v="0"/>
    <x v="0"/>
    <n v="71.489999999999995"/>
    <n v="0.05"/>
    <n v="178.74"/>
    <n v="250.23000000000002"/>
  </r>
  <r>
    <d v="2026-09-02T00:00:00"/>
    <n v="278"/>
    <s v="Diamond Circle"/>
    <n v="1809.25"/>
    <n v="1785.59"/>
    <x v="35"/>
    <x v="0"/>
    <x v="0"/>
    <n v="35.71"/>
    <n v="0.05"/>
    <n v="89.28"/>
    <n v="124.99000000000001"/>
  </r>
  <r>
    <d v="2026-09-02T00:00:00"/>
    <n v="279"/>
    <s v="Lexington"/>
    <n v="2010.03"/>
    <n v="1984.93"/>
    <x v="36"/>
    <x v="6"/>
    <x v="4"/>
    <n v="39.700000000000003"/>
    <n v="0.05"/>
    <n v="99.25"/>
    <n v="138.94999999999999"/>
  </r>
  <r>
    <d v="2026-09-02T00:00:00"/>
    <n v="285"/>
    <s v="Polaris Pointe"/>
    <n v="3158.79"/>
    <n v="3094.95"/>
    <x v="37"/>
    <x v="0"/>
    <x v="0"/>
    <n v="61.9"/>
    <n v="0.05"/>
    <n v="154.75"/>
    <n v="216.65"/>
  </r>
  <r>
    <d v="2026-09-02T00:00:00"/>
    <n v="292"/>
    <s v="Greeley"/>
    <n v="2460.89"/>
    <n v="2424.9499999999998"/>
    <x v="38"/>
    <x v="0"/>
    <x v="0"/>
    <n v="48.5"/>
    <n v="0.05"/>
    <n v="121.25"/>
    <n v="169.75"/>
  </r>
  <r>
    <d v="2026-09-02T00:00:00"/>
    <n v="293"/>
    <s v="West Sacramento"/>
    <n v="2355.56"/>
    <n v="2336.12"/>
    <x v="39"/>
    <x v="14"/>
    <x v="1"/>
    <n v="46.72"/>
    <n v="0.05"/>
    <n v="116.81"/>
    <n v="163.53"/>
  </r>
  <r>
    <d v="2026-09-02T00:00:00"/>
    <n v="296"/>
    <s v="Rancho Cordova"/>
    <n v="1121.4000000000001"/>
    <n v="1078.74"/>
    <x v="40"/>
    <x v="15"/>
    <x v="1"/>
    <n v="21.57"/>
    <n v="0.05"/>
    <n v="53.94"/>
    <n v="75.509999999999991"/>
  </r>
  <r>
    <d v="2026-09-02T00:00:00"/>
    <n v="324"/>
    <s v="American Fork"/>
    <n v="1615.88"/>
    <n v="1591.26"/>
    <x v="41"/>
    <x v="5"/>
    <x v="3"/>
    <n v="31.83"/>
    <n v="0.01"/>
    <n v="15.91"/>
    <n v="47.739999999999995"/>
  </r>
  <r>
    <d v="2026-09-02T00:00:00"/>
    <n v="325"/>
    <s v="Sugar House"/>
    <n v="1813.04"/>
    <n v="1769.75"/>
    <x v="42"/>
    <x v="5"/>
    <x v="3"/>
    <n v="35.4"/>
    <n v="0.01"/>
    <n v="17.7"/>
    <n v="53.099999999999994"/>
  </r>
  <r>
    <d v="2026-09-02T00:00:00"/>
    <n v="332"/>
    <s v="Riverton"/>
    <n v="1532.64"/>
    <n v="1477.57"/>
    <x v="43"/>
    <x v="5"/>
    <x v="3"/>
    <n v="29.55"/>
    <n v="0.01"/>
    <n v="14.78"/>
    <n v="44.33"/>
  </r>
  <r>
    <d v="2026-09-02T00:00:00"/>
    <n v="334"/>
    <s v="Layton"/>
    <n v="1884.85"/>
    <n v="1815.11"/>
    <x v="44"/>
    <x v="5"/>
    <x v="3"/>
    <n v="36.299999999999997"/>
    <n v="0.01"/>
    <n v="18.149999999999999"/>
    <n v="54.449999999999996"/>
  </r>
  <r>
    <d v="2026-09-02T00:00:00"/>
    <n v="338"/>
    <s v="Augusta Exchange"/>
    <n v="2054.9699999999998"/>
    <n v="1904.97"/>
    <x v="45"/>
    <x v="6"/>
    <x v="4"/>
    <n v="38.1"/>
    <n v="0.05"/>
    <n v="95.25"/>
    <n v="133.35"/>
  </r>
  <r>
    <d v="2026-09-02T00:00:00"/>
    <n v="348"/>
    <s v="Bend North"/>
    <n v="3140.63"/>
    <n v="3064.7"/>
    <x v="46"/>
    <x v="5"/>
    <x v="3"/>
    <n v="61.29"/>
    <n v="0.01"/>
    <n v="30.65"/>
    <n v="91.94"/>
  </r>
  <r>
    <d v="2026-09-02T00:00:00"/>
    <n v="349"/>
    <s v="South Medford"/>
    <n v="1971.76"/>
    <n v="1957.39"/>
    <x v="47"/>
    <x v="5"/>
    <x v="3"/>
    <n v="39.15"/>
    <n v="0.01"/>
    <n v="19.57"/>
    <n v="58.72"/>
  </r>
  <r>
    <d v="2026-09-02T00:00:00"/>
    <n v="352"/>
    <s v="Georgetown"/>
    <n v="1423.71"/>
    <n v="1381.73"/>
    <x v="48"/>
    <x v="7"/>
    <x v="5"/>
    <n v="27.63"/>
    <n v="0.05"/>
    <n v="69.09"/>
    <n v="96.72"/>
  </r>
  <r>
    <d v="2026-09-02T00:00:00"/>
    <n v="366"/>
    <s v="Saratoga Springs"/>
    <n v="2373.2600000000002"/>
    <n v="2326.3000000000002"/>
    <x v="49"/>
    <x v="5"/>
    <x v="3"/>
    <n v="46.53"/>
    <n v="0.01"/>
    <n v="23.26"/>
    <n v="69.790000000000006"/>
  </r>
  <r>
    <d v="2026-09-02T00:00:00"/>
    <n v="384"/>
    <s v="Ralston Creek"/>
    <n v="3127.55"/>
    <n v="3043.14"/>
    <x v="50"/>
    <x v="0"/>
    <x v="0"/>
    <n v="60.86"/>
    <n v="0.05"/>
    <n v="152.16"/>
    <n v="213.01999999999998"/>
  </r>
  <r>
    <d v="2026-09-02T00:00:00"/>
    <n v="413"/>
    <s v="Madison"/>
    <n v="1360.3"/>
    <n v="1348.58"/>
    <x v="51"/>
    <x v="16"/>
    <x v="8"/>
    <n v="26.97"/>
    <n v="0.01"/>
    <n v="13.49"/>
    <n v="40.46"/>
  </r>
  <r>
    <d v="2026-09-02T00:00:00"/>
    <n v="421"/>
    <s v="Fort Union"/>
    <n v="1888.38"/>
    <n v="1820.56"/>
    <x v="52"/>
    <x v="5"/>
    <x v="3"/>
    <n v="36.409999999999997"/>
    <n v="0.01"/>
    <n v="18.21"/>
    <n v="54.62"/>
  </r>
  <r>
    <d v="2026-09-02T00:00:00"/>
    <n v="425"/>
    <s v="Crown Point"/>
    <n v="3056.07"/>
    <n v="3015.35"/>
    <x v="53"/>
    <x v="0"/>
    <x v="0"/>
    <n v="60.31"/>
    <n v="0.05"/>
    <n v="150.77000000000001"/>
    <n v="211.08"/>
  </r>
  <r>
    <d v="2026-09-02T00:00:00"/>
    <n v="429"/>
    <s v="South Jordan"/>
    <n v="1772.25"/>
    <n v="1716.64"/>
    <x v="54"/>
    <x v="5"/>
    <x v="3"/>
    <n v="34.33"/>
    <n v="0.01"/>
    <n v="17.170000000000002"/>
    <n v="51.5"/>
  </r>
  <r>
    <d v="2026-09-02T00:00:00"/>
    <n v="433"/>
    <s v="Grants Pass"/>
    <n v="2385.37"/>
    <n v="2337.1999999999998"/>
    <x v="55"/>
    <x v="5"/>
    <x v="3"/>
    <n v="46.74"/>
    <n v="0.01"/>
    <n v="23.37"/>
    <n v="70.11"/>
  </r>
  <r>
    <d v="2026-09-02T00:00:00"/>
    <n v="452"/>
    <s v="Mobile"/>
    <n v="2069.56"/>
    <n v="2050.91"/>
    <x v="56"/>
    <x v="17"/>
    <x v="7"/>
    <n v="41.02"/>
    <n v="0.01"/>
    <n v="20.51"/>
    <n v="61.53"/>
  </r>
  <r>
    <d v="2026-09-02T00:00:00"/>
    <n v="478"/>
    <s v="Pocatello"/>
    <n v="1351.22"/>
    <n v="1254.4000000000001"/>
    <x v="57"/>
    <x v="5"/>
    <x v="3"/>
    <n v="25.09"/>
    <n v="0.01"/>
    <n v="12.54"/>
    <n v="37.629999999999995"/>
  </r>
  <r>
    <d v="2026-09-02T00:00:00"/>
    <n v="514"/>
    <s v="Spanish Fork"/>
    <n v="1810.58"/>
    <n v="1746.1"/>
    <x v="58"/>
    <x v="5"/>
    <x v="3"/>
    <n v="34.92"/>
    <n v="0.01"/>
    <n v="17.46"/>
    <n v="52.38"/>
  </r>
  <r>
    <d v="2026-09-02T00:00:00"/>
    <n v="515"/>
    <s v="Downtown Boise"/>
    <n v="1371.28"/>
    <n v="1339.68"/>
    <x v="59"/>
    <x v="5"/>
    <x v="3"/>
    <n v="26.79"/>
    <n v="0.01"/>
    <n v="13.4"/>
    <n v="40.19"/>
  </r>
  <r>
    <d v="2026-09-02T00:00:00"/>
    <n v="521"/>
    <s v="Boise Town Square"/>
    <n v="1671.84"/>
    <n v="1647.88"/>
    <x v="60"/>
    <x v="5"/>
    <x v="3"/>
    <n v="32.96"/>
    <n v="0.01"/>
    <n v="16.48"/>
    <n v="49.44"/>
  </r>
  <r>
    <d v="2026-09-02T00:00:00"/>
    <n v="586"/>
    <s v="Johnstown"/>
    <n v="2851.67"/>
    <n v="2785.98"/>
    <x v="61"/>
    <x v="0"/>
    <x v="0"/>
    <n v="55.72"/>
    <n v="0.05"/>
    <n v="139.30000000000001"/>
    <n v="195.02"/>
  </r>
  <r>
    <d v="2026-09-02T00:00:00"/>
    <n v="605"/>
    <s v="Campus Oaks"/>
    <n v="2478.5500000000002"/>
    <n v="2438.66"/>
    <x v="62"/>
    <x v="18"/>
    <x v="1"/>
    <n v="48.77"/>
    <n v="0.05"/>
    <n v="121.93"/>
    <n v="170.70000000000002"/>
  </r>
  <r>
    <d v="2026-09-02T00:00:00"/>
    <n v="607"/>
    <s v="Tower"/>
    <n v="3680.16"/>
    <n v="3594.95"/>
    <x v="63"/>
    <x v="0"/>
    <x v="0"/>
    <n v="71.900000000000006"/>
    <n v="0.05"/>
    <n v="179.75"/>
    <n v="251.65"/>
  </r>
  <r>
    <d v="2026-09-02T00:00:00"/>
    <n v="608"/>
    <s v="Sheridan Parkway"/>
    <n v="2721.39"/>
    <n v="2659.48"/>
    <x v="64"/>
    <x v="0"/>
    <x v="0"/>
    <n v="53.19"/>
    <n v="0.05"/>
    <n v="132.97"/>
    <n v="186.16"/>
  </r>
  <r>
    <d v="2026-09-02T00:00:00"/>
    <n v="616"/>
    <s v="Eureka"/>
    <n v="1968.95"/>
    <n v="1934.43"/>
    <x v="65"/>
    <x v="19"/>
    <x v="1"/>
    <n v="38.69"/>
    <n v="0.05"/>
    <n v="96.72"/>
    <n v="135.41"/>
  </r>
  <r>
    <d v="2026-09-02T00:00:00"/>
    <n v="617"/>
    <s v="Lowry"/>
    <n v="2975.35"/>
    <n v="2904.57"/>
    <x v="66"/>
    <x v="0"/>
    <x v="0"/>
    <n v="58.09"/>
    <n v="0.05"/>
    <n v="145.22999999999999"/>
    <n v="203.32"/>
  </r>
  <r>
    <d v="2026-09-02T00:00:00"/>
    <n v="648"/>
    <s v="Belmont Market"/>
    <n v="2255.4899999999998"/>
    <n v="2160.8200000000002"/>
    <x v="67"/>
    <x v="20"/>
    <x v="9"/>
    <n v="21.61"/>
    <n v="0.02"/>
    <n v="43.22"/>
    <n v="64.83"/>
  </r>
  <r>
    <d v="2026-09-02T00:00:00"/>
    <n v="659"/>
    <s v="Ammon"/>
    <n v="1325.96"/>
    <n v="1321.97"/>
    <x v="68"/>
    <x v="5"/>
    <x v="3"/>
    <n v="26.44"/>
    <n v="0.01"/>
    <n v="13.22"/>
    <n v="39.660000000000004"/>
  </r>
  <r>
    <d v="2026-09-02T00:00:00"/>
    <n v="699"/>
    <s v="Grand Junction"/>
    <n v="2010.06"/>
    <n v="1934.72"/>
    <x v="69"/>
    <x v="0"/>
    <x v="0"/>
    <n v="38.69"/>
    <n v="0.05"/>
    <n v="96.74"/>
    <n v="135.43"/>
  </r>
  <r>
    <d v="2026-09-02T00:00:00"/>
    <n v="711"/>
    <s v="Country Club Centre"/>
    <n v="819.11"/>
    <n v="741.97"/>
    <x v="70"/>
    <x v="21"/>
    <x v="9"/>
    <n v="7.42"/>
    <n v="0.01"/>
    <n v="7.42"/>
    <n v="14.84"/>
  </r>
  <r>
    <d v="2026-09-02T00:00:00"/>
    <n v="722"/>
    <s v="Creekwalk"/>
    <n v="2285.4899999999998"/>
    <n v="2228.62"/>
    <x v="71"/>
    <x v="0"/>
    <x v="0"/>
    <n v="44.57"/>
    <n v="0.02"/>
    <n v="44.57"/>
    <n v="89.14"/>
  </r>
  <r>
    <d v="2026-09-02T00:00:00"/>
    <n v="731"/>
    <s v="Naval Air Station Norfolk"/>
    <n v="873.69"/>
    <n v="868.3"/>
    <x v="72"/>
    <x v="22"/>
    <x v="10"/>
    <n v="4.34"/>
    <n v="0.02"/>
    <n v="17.37"/>
    <n v="21.71"/>
  </r>
  <r>
    <d v="2026-09-02T00:00:00"/>
    <n v="761"/>
    <s v="Roseburg"/>
    <n v="1410.12"/>
    <n v="1390.2"/>
    <x v="73"/>
    <x v="5"/>
    <x v="3"/>
    <n v="27.8"/>
    <n v="0.01"/>
    <n v="13.9"/>
    <n v="41.7"/>
  </r>
  <r>
    <d v="2026-09-02T00:00:00"/>
    <n v="777"/>
    <s v="Springfield-Oregon"/>
    <n v="1298.2"/>
    <n v="1247.0999999999999"/>
    <x v="74"/>
    <x v="5"/>
    <x v="3"/>
    <n v="24.94"/>
    <n v="0.01"/>
    <n v="12.47"/>
    <n v="37.410000000000004"/>
  </r>
  <r>
    <d v="2026-09-02T00:00:00"/>
    <n v="820"/>
    <s v="Churn Creek"/>
    <n v="2732.11"/>
    <n v="2693.96"/>
    <x v="75"/>
    <x v="23"/>
    <x v="1"/>
    <n v="53.88"/>
    <n v="0.05"/>
    <n v="134.69999999999999"/>
    <n v="188.57999999999998"/>
  </r>
  <r>
    <d v="2026-09-01T00:00:00"/>
    <n v="21"/>
    <s v="Park Meadows"/>
    <n v="2927.36"/>
    <n v="2884.4"/>
    <x v="0"/>
    <x v="0"/>
    <x v="0"/>
    <n v="57.69"/>
    <n v="0.05"/>
    <n v="144.22"/>
    <n v="201.91"/>
  </r>
  <r>
    <d v="2026-09-01T00:00:00"/>
    <n v="47"/>
    <s v="Redding"/>
    <n v="2807.11"/>
    <n v="2787.68"/>
    <x v="1"/>
    <x v="1"/>
    <x v="1"/>
    <n v="55.75"/>
    <n v="0.05"/>
    <n v="139.38"/>
    <n v="195.13"/>
  </r>
  <r>
    <d v="2026-09-01T00:00:00"/>
    <n v="55"/>
    <s v="Rocklin"/>
    <n v="1383.77"/>
    <n v="1364.43"/>
    <x v="2"/>
    <x v="2"/>
    <x v="1"/>
    <n v="27.29"/>
    <n v="0.05"/>
    <n v="68.22"/>
    <n v="95.509999999999991"/>
  </r>
  <r>
    <d v="2026-09-01T00:00:00"/>
    <n v="56"/>
    <s v="Livonia"/>
    <n v="2852.99"/>
    <n v="2808.04"/>
    <x v="3"/>
    <x v="3"/>
    <x v="2"/>
    <n v="56.16"/>
    <n v="0.05"/>
    <n v="140.4"/>
    <n v="196.56"/>
  </r>
  <r>
    <d v="2026-09-01T00:00:00"/>
    <n v="77"/>
    <s v="Falcon Landing"/>
    <n v="1994.21"/>
    <n v="1882.83"/>
    <x v="4"/>
    <x v="0"/>
    <x v="0"/>
    <n v="37.659999999999997"/>
    <n v="0.05"/>
    <n v="94.14"/>
    <n v="131.80000000000001"/>
  </r>
  <r>
    <d v="2026-09-01T00:00:00"/>
    <n v="93"/>
    <s v="Brighton"/>
    <n v="2589.61"/>
    <n v="2572.25"/>
    <x v="5"/>
    <x v="3"/>
    <x v="2"/>
    <n v="51.45"/>
    <n v="0.05"/>
    <n v="128.61000000000001"/>
    <n v="180.06"/>
  </r>
  <r>
    <d v="2026-09-01T00:00:00"/>
    <n v="94"/>
    <s v="Castle Rock"/>
    <n v="3034.62"/>
    <n v="2975.83"/>
    <x v="6"/>
    <x v="0"/>
    <x v="0"/>
    <n v="59.52"/>
    <n v="0.05"/>
    <n v="148.79"/>
    <n v="208.31"/>
  </r>
  <r>
    <d v="2026-09-01T00:00:00"/>
    <n v="100"/>
    <s v="Howe Bout Arden"/>
    <n v="3037.38"/>
    <n v="3033.39"/>
    <x v="7"/>
    <x v="4"/>
    <x v="1"/>
    <n v="60.67"/>
    <n v="0.05"/>
    <n v="151.66999999999999"/>
    <n v="212.33999999999997"/>
  </r>
  <r>
    <d v="2026-09-01T00:00:00"/>
    <n v="126"/>
    <s v="Bend"/>
    <n v="2384.88"/>
    <n v="2283.42"/>
    <x v="8"/>
    <x v="5"/>
    <x v="3"/>
    <n v="45.67"/>
    <n v="0.01"/>
    <n v="22.83"/>
    <n v="68.5"/>
  </r>
  <r>
    <d v="2026-09-01T00:00:00"/>
    <n v="133"/>
    <s v="Woodhill"/>
    <n v="2073.2600000000002"/>
    <n v="2021.35"/>
    <x v="9"/>
    <x v="6"/>
    <x v="4"/>
    <n v="40.43"/>
    <n v="0.05"/>
    <n v="101.07"/>
    <n v="141.5"/>
  </r>
  <r>
    <d v="2026-09-01T00:00:00"/>
    <n v="149"/>
    <s v="Westwood Plaza"/>
    <n v="2096.7399999999998"/>
    <n v="2058.56"/>
    <x v="10"/>
    <x v="6"/>
    <x v="4"/>
    <n v="41.17"/>
    <n v="0.05"/>
    <n v="102.93"/>
    <n v="144.10000000000002"/>
  </r>
  <r>
    <d v="2026-09-01T00:00:00"/>
    <n v="157"/>
    <s v="Hamburg"/>
    <n v="2568.29"/>
    <n v="2556.98"/>
    <x v="11"/>
    <x v="7"/>
    <x v="5"/>
    <n v="51.14"/>
    <n v="0.05"/>
    <n v="127.85"/>
    <n v="178.99"/>
  </r>
  <r>
    <d v="2026-09-01T00:00:00"/>
    <n v="158"/>
    <s v="McCaslin Marketplace"/>
    <n v="2814.96"/>
    <n v="2711.44"/>
    <x v="12"/>
    <x v="0"/>
    <x v="0"/>
    <n v="54.23"/>
    <n v="0.05"/>
    <n v="135.57"/>
    <n v="189.79999999999998"/>
  </r>
  <r>
    <d v="2026-09-01T00:00:00"/>
    <n v="159"/>
    <s v="North Charleston"/>
    <n v="1910.33"/>
    <n v="1865.53"/>
    <x v="13"/>
    <x v="6"/>
    <x v="4"/>
    <n v="37.31"/>
    <n v="0.05"/>
    <n v="93.28"/>
    <n v="130.59"/>
  </r>
  <r>
    <d v="2026-09-01T00:00:00"/>
    <n v="161"/>
    <s v="Chico"/>
    <n v="3332.98"/>
    <n v="3280.4"/>
    <x v="14"/>
    <x v="8"/>
    <x v="1"/>
    <n v="65.61"/>
    <n v="0.05"/>
    <n v="164.02"/>
    <n v="229.63"/>
  </r>
  <r>
    <d v="2026-09-01T00:00:00"/>
    <n v="163"/>
    <s v="Forest Trace"/>
    <n v="3443.95"/>
    <n v="3313.54"/>
    <x v="15"/>
    <x v="0"/>
    <x v="0"/>
    <n v="66.27"/>
    <n v="0.05"/>
    <n v="165.68"/>
    <n v="231.95"/>
  </r>
  <r>
    <d v="2026-09-01T00:00:00"/>
    <n v="166"/>
    <s v="Centre Avenue"/>
    <n v="2516.94"/>
    <n v="2479.48"/>
    <x v="16"/>
    <x v="0"/>
    <x v="0"/>
    <n v="49.59"/>
    <n v="0.05"/>
    <n v="123.97"/>
    <n v="173.56"/>
  </r>
  <r>
    <d v="2026-09-01T00:00:00"/>
    <n v="172"/>
    <s v="Oakway"/>
    <n v="2893.23"/>
    <n v="2822.91"/>
    <x v="17"/>
    <x v="5"/>
    <x v="3"/>
    <n v="56.46"/>
    <n v="0.01"/>
    <n v="28.23"/>
    <n v="84.69"/>
  </r>
  <r>
    <d v="2026-09-01T00:00:00"/>
    <n v="204"/>
    <s v="North Medford"/>
    <n v="3306.42"/>
    <n v="3246.22"/>
    <x v="18"/>
    <x v="5"/>
    <x v="3"/>
    <n v="64.92"/>
    <n v="0.01"/>
    <n v="32.46"/>
    <n v="97.38"/>
  </r>
  <r>
    <d v="2026-09-01T00:00:00"/>
    <n v="210"/>
    <s v="South Eugene"/>
    <n v="1936.24"/>
    <n v="1904.46"/>
    <x v="19"/>
    <x v="5"/>
    <x v="3"/>
    <n v="38.090000000000003"/>
    <n v="0.01"/>
    <n v="19.04"/>
    <n v="57.13"/>
  </r>
  <r>
    <d v="2026-09-01T00:00:00"/>
    <n v="212"/>
    <s v="Woodland"/>
    <n v="2610.35"/>
    <n v="2502.96"/>
    <x v="20"/>
    <x v="9"/>
    <x v="1"/>
    <n v="50.06"/>
    <n v="0.05"/>
    <n v="125.15"/>
    <n v="175.21"/>
  </r>
  <r>
    <d v="2026-09-01T00:00:00"/>
    <n v="216"/>
    <s v="NE Columbia"/>
    <n v="1772.2"/>
    <n v="1714.11"/>
    <x v="21"/>
    <x v="6"/>
    <x v="4"/>
    <n v="34.28"/>
    <n v="0.05"/>
    <n v="85.71"/>
    <n v="119.99"/>
  </r>
  <r>
    <d v="2026-09-01T00:00:00"/>
    <n v="228"/>
    <s v="Auburn Village"/>
    <n v="2023.69"/>
    <n v="1959.62"/>
    <x v="22"/>
    <x v="10"/>
    <x v="1"/>
    <n v="39.19"/>
    <n v="0.05"/>
    <n v="97.98"/>
    <n v="137.17000000000002"/>
  </r>
  <r>
    <d v="2026-09-01T00:00:00"/>
    <n v="231"/>
    <s v="Kennesaw"/>
    <n v="2263.66"/>
    <n v="2252.9699999999998"/>
    <x v="23"/>
    <x v="11"/>
    <x v="6"/>
    <n v="45.06"/>
    <n v="0.05"/>
    <n v="112.65"/>
    <n v="157.71"/>
  </r>
  <r>
    <d v="2026-09-01T00:00:00"/>
    <n v="241"/>
    <s v="Woods Cross"/>
    <n v="2557.6799999999998"/>
    <n v="2529.61"/>
    <x v="24"/>
    <x v="5"/>
    <x v="3"/>
    <n v="50.59"/>
    <n v="0.01"/>
    <n v="25.3"/>
    <n v="75.89"/>
  </r>
  <r>
    <d v="2026-09-01T00:00:00"/>
    <n v="244"/>
    <s v="Redfield Promenade"/>
    <n v="1808.24"/>
    <n v="1791.69"/>
    <x v="25"/>
    <x v="12"/>
    <x v="1"/>
    <n v="35.83"/>
    <n v="0.05"/>
    <n v="89.58"/>
    <n v="125.41"/>
  </r>
  <r>
    <d v="2026-09-01T00:00:00"/>
    <n v="245"/>
    <s v="Evansville"/>
    <n v="1240.81"/>
    <n v="1139.0899999999999"/>
    <x v="26"/>
    <x v="7"/>
    <x v="5"/>
    <n v="22.78"/>
    <n v="0.05"/>
    <n v="56.95"/>
    <n v="79.73"/>
  </r>
  <r>
    <d v="2026-09-01T00:00:00"/>
    <n v="251"/>
    <s v="Westminster Promenade"/>
    <n v="2977.65"/>
    <n v="2913.71"/>
    <x v="27"/>
    <x v="0"/>
    <x v="0"/>
    <n v="58.27"/>
    <n v="0.05"/>
    <n v="145.69"/>
    <n v="203.96"/>
  </r>
  <r>
    <d v="2026-09-01T00:00:00"/>
    <n v="253"/>
    <s v="Park City"/>
    <n v="2189.4"/>
    <n v="2135.7399999999998"/>
    <x v="28"/>
    <x v="5"/>
    <x v="3"/>
    <n v="42.71"/>
    <n v="0.01"/>
    <n v="21.36"/>
    <n v="64.069999999999993"/>
  </r>
  <r>
    <d v="2026-09-01T00:00:00"/>
    <n v="256"/>
    <s v="South Academy Highlands"/>
    <n v="2659.39"/>
    <n v="2603.48"/>
    <x v="29"/>
    <x v="0"/>
    <x v="0"/>
    <n v="52.07"/>
    <n v="0.05"/>
    <n v="130.16999999999999"/>
    <n v="182.23999999999998"/>
  </r>
  <r>
    <d v="2026-09-01T00:00:00"/>
    <n v="258"/>
    <s v="Riverdale"/>
    <n v="1995.74"/>
    <n v="1957.45"/>
    <x v="30"/>
    <x v="5"/>
    <x v="3"/>
    <n v="39.15"/>
    <n v="0.01"/>
    <n v="19.57"/>
    <n v="58.72"/>
  </r>
  <r>
    <d v="2026-09-01T00:00:00"/>
    <n v="260"/>
    <s v="Highlands Ranch"/>
    <n v="3103.74"/>
    <n v="2985.37"/>
    <x v="31"/>
    <x v="0"/>
    <x v="0"/>
    <n v="59.71"/>
    <n v="0.05"/>
    <n v="149.27000000000001"/>
    <n v="208.98000000000002"/>
  </r>
  <r>
    <d v="2026-09-01T00:00:00"/>
    <n v="265"/>
    <s v="Dublin Commons"/>
    <n v="3337.56"/>
    <n v="3231.5"/>
    <x v="32"/>
    <x v="0"/>
    <x v="0"/>
    <n v="64.63"/>
    <n v="0.05"/>
    <n v="161.58000000000001"/>
    <n v="226.21"/>
  </r>
  <r>
    <d v="2026-09-01T00:00:00"/>
    <n v="267"/>
    <s v="Decatur"/>
    <n v="1282.46"/>
    <n v="1267.17"/>
    <x v="33"/>
    <x v="13"/>
    <x v="7"/>
    <n v="25.34"/>
    <n v="0.01"/>
    <n v="12.67"/>
    <n v="38.01"/>
  </r>
  <r>
    <d v="2026-09-01T00:00:00"/>
    <n v="272"/>
    <s v="Northfield Commons"/>
    <n v="2147.39"/>
    <n v="2081.15"/>
    <x v="34"/>
    <x v="0"/>
    <x v="0"/>
    <n v="41.62"/>
    <n v="0.05"/>
    <n v="104.06"/>
    <n v="145.68"/>
  </r>
  <r>
    <d v="2026-09-01T00:00:00"/>
    <n v="278"/>
    <s v="Diamond Circle"/>
    <n v="2791.99"/>
    <n v="2762.03"/>
    <x v="35"/>
    <x v="0"/>
    <x v="0"/>
    <n v="55.24"/>
    <n v="0.05"/>
    <n v="138.1"/>
    <n v="193.34"/>
  </r>
  <r>
    <d v="2026-09-01T00:00:00"/>
    <n v="279"/>
    <s v="Lexington"/>
    <n v="2241.16"/>
    <n v="2213.67"/>
    <x v="36"/>
    <x v="6"/>
    <x v="4"/>
    <n v="44.27"/>
    <n v="0.05"/>
    <n v="110.68"/>
    <n v="154.95000000000002"/>
  </r>
  <r>
    <d v="2026-09-01T00:00:00"/>
    <n v="285"/>
    <s v="Polaris Pointe"/>
    <n v="2866.08"/>
    <n v="2763.87"/>
    <x v="37"/>
    <x v="0"/>
    <x v="0"/>
    <n v="55.28"/>
    <n v="0.05"/>
    <n v="138.19"/>
    <n v="193.47"/>
  </r>
  <r>
    <d v="2026-09-01T00:00:00"/>
    <n v="292"/>
    <s v="Greeley"/>
    <n v="1820.48"/>
    <n v="1737.68"/>
    <x v="38"/>
    <x v="0"/>
    <x v="0"/>
    <n v="34.75"/>
    <n v="0.05"/>
    <n v="86.88"/>
    <n v="121.63"/>
  </r>
  <r>
    <d v="2026-09-01T00:00:00"/>
    <n v="293"/>
    <s v="West Sacramento"/>
    <n v="1936.84"/>
    <n v="1915.84"/>
    <x v="39"/>
    <x v="14"/>
    <x v="1"/>
    <n v="38.32"/>
    <n v="0.05"/>
    <n v="95.79"/>
    <n v="134.11000000000001"/>
  </r>
  <r>
    <d v="2026-09-01T00:00:00"/>
    <n v="296"/>
    <s v="Rancho Cordova"/>
    <n v="1691.85"/>
    <n v="1684.69"/>
    <x v="40"/>
    <x v="15"/>
    <x v="1"/>
    <n v="33.69"/>
    <n v="0.05"/>
    <n v="84.23"/>
    <n v="117.92"/>
  </r>
  <r>
    <d v="2026-09-01T00:00:00"/>
    <n v="324"/>
    <s v="American Fork"/>
    <n v="1527.83"/>
    <n v="1490.77"/>
    <x v="41"/>
    <x v="5"/>
    <x v="3"/>
    <n v="29.82"/>
    <n v="0.01"/>
    <n v="14.91"/>
    <n v="44.730000000000004"/>
  </r>
  <r>
    <d v="2026-09-01T00:00:00"/>
    <n v="325"/>
    <s v="Sugar House"/>
    <n v="1560.26"/>
    <n v="1519.04"/>
    <x v="42"/>
    <x v="5"/>
    <x v="3"/>
    <n v="30.38"/>
    <n v="0.01"/>
    <n v="15.19"/>
    <n v="45.57"/>
  </r>
  <r>
    <d v="2026-09-01T00:00:00"/>
    <n v="332"/>
    <s v="Riverton"/>
    <n v="1551.26"/>
    <n v="1502.98"/>
    <x v="43"/>
    <x v="5"/>
    <x v="3"/>
    <n v="30.06"/>
    <n v="0.01"/>
    <n v="15.03"/>
    <n v="45.089999999999996"/>
  </r>
  <r>
    <d v="2026-09-01T00:00:00"/>
    <n v="334"/>
    <s v="Layton"/>
    <n v="1636.01"/>
    <n v="1620.33"/>
    <x v="44"/>
    <x v="5"/>
    <x v="3"/>
    <n v="32.409999999999997"/>
    <n v="0.01"/>
    <n v="16.2"/>
    <n v="48.61"/>
  </r>
  <r>
    <d v="2026-09-01T00:00:00"/>
    <n v="338"/>
    <s v="Augusta Exchange"/>
    <n v="2521.23"/>
    <n v="2353.85"/>
    <x v="45"/>
    <x v="6"/>
    <x v="4"/>
    <n v="47.08"/>
    <n v="0.05"/>
    <n v="117.69"/>
    <n v="164.76999999999998"/>
  </r>
  <r>
    <d v="2026-09-01T00:00:00"/>
    <n v="348"/>
    <s v="Bend North"/>
    <n v="3121.21"/>
    <n v="3047.96"/>
    <x v="46"/>
    <x v="5"/>
    <x v="3"/>
    <n v="60.96"/>
    <n v="0.01"/>
    <n v="30.48"/>
    <n v="91.44"/>
  </r>
  <r>
    <d v="2026-09-01T00:00:00"/>
    <n v="349"/>
    <s v="South Medford"/>
    <n v="2198.73"/>
    <n v="2145.9"/>
    <x v="47"/>
    <x v="5"/>
    <x v="3"/>
    <n v="42.92"/>
    <n v="0.01"/>
    <n v="21.46"/>
    <n v="64.38"/>
  </r>
  <r>
    <d v="2026-09-01T00:00:00"/>
    <n v="352"/>
    <s v="Georgetown"/>
    <n v="1606.25"/>
    <n v="1438.84"/>
    <x v="48"/>
    <x v="7"/>
    <x v="5"/>
    <n v="28.78"/>
    <n v="0.05"/>
    <n v="71.94"/>
    <n v="100.72"/>
  </r>
  <r>
    <d v="2026-09-01T00:00:00"/>
    <n v="366"/>
    <s v="Saratoga Springs"/>
    <n v="2039.51"/>
    <n v="2013.26"/>
    <x v="49"/>
    <x v="5"/>
    <x v="3"/>
    <n v="40.270000000000003"/>
    <n v="0.01"/>
    <n v="20.13"/>
    <n v="60.400000000000006"/>
  </r>
  <r>
    <d v="2026-09-01T00:00:00"/>
    <n v="384"/>
    <s v="Ralston Creek"/>
    <n v="2930.66"/>
    <n v="2846.37"/>
    <x v="50"/>
    <x v="0"/>
    <x v="0"/>
    <n v="56.93"/>
    <n v="0.05"/>
    <n v="142.32"/>
    <n v="199.25"/>
  </r>
  <r>
    <d v="2026-09-01T00:00:00"/>
    <n v="413"/>
    <s v="Madison"/>
    <n v="1118.23"/>
    <n v="1088.78"/>
    <x v="51"/>
    <x v="16"/>
    <x v="8"/>
    <n v="21.78"/>
    <n v="0.01"/>
    <n v="10.89"/>
    <n v="32.67"/>
  </r>
  <r>
    <d v="2026-09-01T00:00:00"/>
    <n v="421"/>
    <s v="Fort Union"/>
    <n v="2193.08"/>
    <n v="2162.8000000000002"/>
    <x v="52"/>
    <x v="5"/>
    <x v="3"/>
    <n v="43.26"/>
    <n v="0.01"/>
    <n v="21.63"/>
    <n v="64.89"/>
  </r>
  <r>
    <d v="2026-09-01T00:00:00"/>
    <n v="425"/>
    <s v="Crown Point"/>
    <n v="2322.04"/>
    <n v="2243.9699999999998"/>
    <x v="53"/>
    <x v="0"/>
    <x v="0"/>
    <n v="44.88"/>
    <n v="0.05"/>
    <n v="112.2"/>
    <n v="157.08000000000001"/>
  </r>
  <r>
    <d v="2026-09-01T00:00:00"/>
    <n v="429"/>
    <s v="South Jordan"/>
    <n v="1608.98"/>
    <n v="1590.58"/>
    <x v="54"/>
    <x v="5"/>
    <x v="3"/>
    <n v="31.81"/>
    <n v="0.01"/>
    <n v="15.91"/>
    <n v="47.72"/>
  </r>
  <r>
    <d v="2026-09-01T00:00:00"/>
    <n v="433"/>
    <s v="Grants Pass"/>
    <n v="2043.18"/>
    <n v="1944.28"/>
    <x v="55"/>
    <x v="5"/>
    <x v="3"/>
    <n v="38.89"/>
    <n v="0.01"/>
    <n v="19.440000000000001"/>
    <n v="58.33"/>
  </r>
  <r>
    <d v="2026-09-01T00:00:00"/>
    <n v="452"/>
    <s v="Mobile"/>
    <n v="1111.51"/>
    <n v="1106.1099999999999"/>
    <x v="56"/>
    <x v="17"/>
    <x v="7"/>
    <n v="22.12"/>
    <n v="0.01"/>
    <n v="11.06"/>
    <n v="33.18"/>
  </r>
  <r>
    <d v="2026-09-01T00:00:00"/>
    <n v="478"/>
    <s v="Pocatello"/>
    <n v="1346.34"/>
    <n v="1333.2"/>
    <x v="57"/>
    <x v="5"/>
    <x v="3"/>
    <n v="26.66"/>
    <n v="0.01"/>
    <n v="13.33"/>
    <n v="39.99"/>
  </r>
  <r>
    <d v="2026-09-01T00:00:00"/>
    <n v="514"/>
    <s v="Spanish Fork"/>
    <n v="1925.58"/>
    <n v="1793.45"/>
    <x v="58"/>
    <x v="5"/>
    <x v="3"/>
    <n v="35.869999999999997"/>
    <n v="0.01"/>
    <n v="17.93"/>
    <n v="53.8"/>
  </r>
  <r>
    <d v="2026-09-01T00:00:00"/>
    <n v="515"/>
    <s v="Downtown Boise"/>
    <n v="1707.01"/>
    <n v="1675.49"/>
    <x v="59"/>
    <x v="5"/>
    <x v="3"/>
    <n v="33.51"/>
    <n v="0.01"/>
    <n v="16.75"/>
    <n v="50.26"/>
  </r>
  <r>
    <d v="2026-09-01T00:00:00"/>
    <n v="521"/>
    <s v="Boise Town Square"/>
    <n v="1561.3"/>
    <n v="1547.23"/>
    <x v="60"/>
    <x v="5"/>
    <x v="3"/>
    <n v="30.94"/>
    <n v="0.01"/>
    <n v="15.47"/>
    <n v="46.410000000000004"/>
  </r>
  <r>
    <d v="2026-09-01T00:00:00"/>
    <n v="586"/>
    <s v="Johnstown"/>
    <n v="3178"/>
    <n v="3146.37"/>
    <x v="61"/>
    <x v="0"/>
    <x v="0"/>
    <n v="62.93"/>
    <n v="0.05"/>
    <n v="157.32"/>
    <n v="220.25"/>
  </r>
  <r>
    <d v="2026-09-01T00:00:00"/>
    <n v="605"/>
    <s v="Campus Oaks"/>
    <n v="2293.15"/>
    <n v="2237.1999999999998"/>
    <x v="62"/>
    <x v="18"/>
    <x v="1"/>
    <n v="44.74"/>
    <n v="0.05"/>
    <n v="111.86"/>
    <n v="156.6"/>
  </r>
  <r>
    <d v="2026-09-01T00:00:00"/>
    <n v="607"/>
    <s v="Tower"/>
    <n v="2495.17"/>
    <n v="2454.23"/>
    <x v="63"/>
    <x v="0"/>
    <x v="0"/>
    <n v="49.08"/>
    <n v="0.05"/>
    <n v="122.71"/>
    <n v="171.79"/>
  </r>
  <r>
    <d v="2026-09-01T00:00:00"/>
    <n v="608"/>
    <s v="Sheridan Parkway"/>
    <n v="2620.46"/>
    <n v="2570.5300000000002"/>
    <x v="64"/>
    <x v="0"/>
    <x v="0"/>
    <n v="51.41"/>
    <n v="0.05"/>
    <n v="128.53"/>
    <n v="179.94"/>
  </r>
  <r>
    <d v="2026-09-01T00:00:00"/>
    <n v="616"/>
    <s v="Eureka"/>
    <n v="2309.29"/>
    <n v="2277.33"/>
    <x v="65"/>
    <x v="19"/>
    <x v="1"/>
    <n v="45.55"/>
    <n v="0.05"/>
    <n v="113.87"/>
    <n v="159.42000000000002"/>
  </r>
  <r>
    <d v="2026-09-01T00:00:00"/>
    <n v="617"/>
    <s v="Lowry"/>
    <n v="1598.65"/>
    <n v="1547.84"/>
    <x v="66"/>
    <x v="0"/>
    <x v="0"/>
    <n v="30.96"/>
    <n v="0.05"/>
    <n v="77.39"/>
    <n v="108.35"/>
  </r>
  <r>
    <d v="2026-09-01T00:00:00"/>
    <n v="648"/>
    <s v="Belmont Market"/>
    <n v="1728.42"/>
    <n v="1635.68"/>
    <x v="67"/>
    <x v="20"/>
    <x v="9"/>
    <n v="16.36"/>
    <n v="0.02"/>
    <n v="32.71"/>
    <n v="49.07"/>
  </r>
  <r>
    <d v="2026-09-01T00:00:00"/>
    <n v="659"/>
    <s v="Ammon"/>
    <n v="1156.79"/>
    <n v="1127.1199999999999"/>
    <x v="68"/>
    <x v="5"/>
    <x v="3"/>
    <n v="22.54"/>
    <n v="0.01"/>
    <n v="11.27"/>
    <n v="33.81"/>
  </r>
  <r>
    <d v="2026-09-01T00:00:00"/>
    <n v="699"/>
    <s v="Grand Junction"/>
    <n v="1875.81"/>
    <n v="1865.83"/>
    <x v="69"/>
    <x v="0"/>
    <x v="0"/>
    <n v="37.32"/>
    <n v="0.05"/>
    <n v="93.29"/>
    <n v="130.61000000000001"/>
  </r>
  <r>
    <d v="2026-09-01T00:00:00"/>
    <n v="711"/>
    <s v="Country Club Centre"/>
    <n v="1372.23"/>
    <n v="1326.16"/>
    <x v="70"/>
    <x v="21"/>
    <x v="9"/>
    <n v="13.26"/>
    <n v="0.01"/>
    <n v="13.26"/>
    <n v="26.52"/>
  </r>
  <r>
    <d v="2026-09-01T00:00:00"/>
    <n v="722"/>
    <s v="Creekwalk"/>
    <n v="2127.64"/>
    <n v="2065.96"/>
    <x v="71"/>
    <x v="0"/>
    <x v="0"/>
    <n v="41.32"/>
    <n v="0.02"/>
    <n v="41.32"/>
    <n v="82.64"/>
  </r>
  <r>
    <d v="2026-09-01T00:00:00"/>
    <n v="731"/>
    <s v="Naval Air Station Norfolk"/>
    <n v="87.27"/>
    <n v="87.27"/>
    <x v="72"/>
    <x v="22"/>
    <x v="10"/>
    <n v="0.44"/>
    <n v="0.02"/>
    <n v="1.75"/>
    <n v="2.19"/>
  </r>
  <r>
    <d v="2026-09-01T00:00:00"/>
    <n v="761"/>
    <s v="Roseburg"/>
    <n v="1300.69"/>
    <n v="1273.3599999999999"/>
    <x v="73"/>
    <x v="5"/>
    <x v="3"/>
    <n v="25.47"/>
    <n v="0.01"/>
    <n v="12.73"/>
    <n v="38.200000000000003"/>
  </r>
  <r>
    <d v="2026-09-01T00:00:00"/>
    <n v="777"/>
    <s v="Springfield-Oregon"/>
    <n v="1943.62"/>
    <n v="1921.49"/>
    <x v="74"/>
    <x v="5"/>
    <x v="3"/>
    <n v="38.43"/>
    <n v="0.01"/>
    <n v="19.21"/>
    <n v="57.64"/>
  </r>
  <r>
    <d v="2026-09-01T00:00:00"/>
    <n v="820"/>
    <s v="Churn Creek"/>
    <n v="2839.69"/>
    <n v="2730.57"/>
    <x v="75"/>
    <x v="23"/>
    <x v="1"/>
    <n v="54.61"/>
    <n v="0.05"/>
    <n v="136.53"/>
    <n v="191.14"/>
  </r>
  <r>
    <d v="2026-08-31T00:00:00"/>
    <n v="21"/>
    <s v="Park Meadows"/>
    <n v="2263.09"/>
    <n v="2231.14"/>
    <x v="0"/>
    <x v="0"/>
    <x v="0"/>
    <n v="44.62"/>
    <n v="0.05"/>
    <n v="111.56"/>
    <n v="156.18"/>
  </r>
  <r>
    <d v="2026-08-31T00:00:00"/>
    <n v="47"/>
    <s v="Redding"/>
    <n v="3509.38"/>
    <n v="3385.8199999999988"/>
    <x v="1"/>
    <x v="1"/>
    <x v="1"/>
    <n v="67.72"/>
    <n v="0.05"/>
    <n v="169.29"/>
    <n v="237.01"/>
  </r>
  <r>
    <d v="2026-08-31T00:00:00"/>
    <n v="55"/>
    <s v="Rocklin"/>
    <n v="1707.31"/>
    <n v="1684.88"/>
    <x v="2"/>
    <x v="2"/>
    <x v="1"/>
    <n v="33.700000000000003"/>
    <n v="0.05"/>
    <n v="84.24"/>
    <n v="117.94"/>
  </r>
  <r>
    <d v="2026-08-31T00:00:00"/>
    <n v="56"/>
    <s v="Livonia"/>
    <n v="2572.15"/>
    <n v="2545.44"/>
    <x v="3"/>
    <x v="3"/>
    <x v="2"/>
    <n v="50.91"/>
    <n v="0.05"/>
    <n v="127.27"/>
    <n v="178.18"/>
  </r>
  <r>
    <d v="2026-08-31T00:00:00"/>
    <n v="77"/>
    <s v="Falcon Landing"/>
    <n v="3086.9"/>
    <n v="3030.11"/>
    <x v="4"/>
    <x v="0"/>
    <x v="0"/>
    <n v="60.6"/>
    <n v="0.05"/>
    <n v="151.51"/>
    <n v="212.10999999999999"/>
  </r>
  <r>
    <d v="2026-08-31T00:00:00"/>
    <n v="93"/>
    <s v="Brighton"/>
    <n v="2213.0500000000002"/>
    <n v="2099.73"/>
    <x v="5"/>
    <x v="3"/>
    <x v="2"/>
    <n v="41.99"/>
    <n v="0.05"/>
    <n v="104.99"/>
    <n v="146.97999999999999"/>
  </r>
  <r>
    <d v="2026-08-31T00:00:00"/>
    <n v="94"/>
    <s v="Castle Rock"/>
    <n v="2688.7"/>
    <n v="2628.2500000000005"/>
    <x v="6"/>
    <x v="0"/>
    <x v="0"/>
    <n v="52.57"/>
    <n v="0.05"/>
    <n v="131.41"/>
    <n v="183.98"/>
  </r>
  <r>
    <d v="2026-08-31T00:00:00"/>
    <n v="100"/>
    <s v="Howe Bout Arden"/>
    <n v="4341.38"/>
    <n v="4228.1499999999996"/>
    <x v="7"/>
    <x v="4"/>
    <x v="1"/>
    <n v="84.56"/>
    <n v="0.05"/>
    <n v="211.41"/>
    <n v="295.97000000000003"/>
  </r>
  <r>
    <d v="2026-08-31T00:00:00"/>
    <n v="126"/>
    <s v="Bend"/>
    <n v="2859.06"/>
    <n v="2850.52"/>
    <x v="8"/>
    <x v="5"/>
    <x v="3"/>
    <n v="57.01"/>
    <n v="0.01"/>
    <n v="28.51"/>
    <n v="85.52"/>
  </r>
  <r>
    <d v="2026-08-31T00:00:00"/>
    <n v="133"/>
    <s v="Woodhill"/>
    <n v="2042.52"/>
    <n v="2007.93"/>
    <x v="9"/>
    <x v="6"/>
    <x v="4"/>
    <n v="40.159999999999997"/>
    <n v="0.05"/>
    <n v="100.4"/>
    <n v="140.56"/>
  </r>
  <r>
    <d v="2026-08-31T00:00:00"/>
    <n v="149"/>
    <s v="Westwood Plaza"/>
    <n v="1782.15"/>
    <n v="1770.17"/>
    <x v="10"/>
    <x v="6"/>
    <x v="4"/>
    <n v="35.4"/>
    <n v="0.05"/>
    <n v="88.51"/>
    <n v="123.91"/>
  </r>
  <r>
    <d v="2026-08-31T00:00:00"/>
    <n v="157"/>
    <s v="Hamburg"/>
    <n v="2114.37"/>
    <n v="2080.87"/>
    <x v="11"/>
    <x v="7"/>
    <x v="5"/>
    <n v="41.62"/>
    <n v="0.05"/>
    <n v="104.04"/>
    <n v="145.66"/>
  </r>
  <r>
    <d v="2026-08-31T00:00:00"/>
    <n v="158"/>
    <s v="McCaslin Marketplace"/>
    <n v="1976.33"/>
    <n v="1883.4600000000009"/>
    <x v="12"/>
    <x v="0"/>
    <x v="0"/>
    <n v="37.67"/>
    <n v="0.05"/>
    <n v="94.17"/>
    <n v="131.84"/>
  </r>
  <r>
    <d v="2026-08-31T00:00:00"/>
    <n v="159"/>
    <s v="North Charleston"/>
    <n v="1443.03"/>
    <n v="1415.52"/>
    <x v="13"/>
    <x v="6"/>
    <x v="4"/>
    <n v="28.31"/>
    <n v="0.05"/>
    <n v="70.78"/>
    <n v="99.09"/>
  </r>
  <r>
    <d v="2026-08-31T00:00:00"/>
    <n v="161"/>
    <s v="Chico"/>
    <n v="3907.32"/>
    <n v="3860.47"/>
    <x v="14"/>
    <x v="8"/>
    <x v="1"/>
    <n v="77.209999999999994"/>
    <n v="0.05"/>
    <n v="193.02"/>
    <n v="270.23"/>
  </r>
  <r>
    <d v="2026-08-31T00:00:00"/>
    <n v="163"/>
    <s v="Forest Trace"/>
    <n v="1827.78"/>
    <n v="1680.6699999999973"/>
    <x v="15"/>
    <x v="0"/>
    <x v="0"/>
    <n v="33.61"/>
    <n v="0.05"/>
    <n v="84.03"/>
    <n v="117.64"/>
  </r>
  <r>
    <d v="2026-08-31T00:00:00"/>
    <n v="166"/>
    <s v="Centre Avenue"/>
    <n v="2362.6999999999998"/>
    <n v="2303.77"/>
    <x v="16"/>
    <x v="0"/>
    <x v="0"/>
    <n v="46.08"/>
    <n v="0.05"/>
    <n v="115.19"/>
    <n v="161.26999999999998"/>
  </r>
  <r>
    <d v="2026-08-31T00:00:00"/>
    <n v="172"/>
    <s v="Oakway"/>
    <n v="2637.2"/>
    <n v="2591.7399999999998"/>
    <x v="17"/>
    <x v="5"/>
    <x v="3"/>
    <n v="51.83"/>
    <n v="0.01"/>
    <n v="25.92"/>
    <n v="77.75"/>
  </r>
  <r>
    <d v="2026-08-31T00:00:00"/>
    <n v="204"/>
    <s v="North Medford"/>
    <n v="2989.84"/>
    <n v="2936.24"/>
    <x v="18"/>
    <x v="5"/>
    <x v="3"/>
    <n v="58.72"/>
    <n v="0.01"/>
    <n v="29.36"/>
    <n v="88.08"/>
  </r>
  <r>
    <d v="2026-08-31T00:00:00"/>
    <n v="210"/>
    <s v="South Eugene"/>
    <n v="1931.68"/>
    <n v="1888.61"/>
    <x v="19"/>
    <x v="5"/>
    <x v="3"/>
    <n v="37.770000000000003"/>
    <n v="0.01"/>
    <n v="18.89"/>
    <n v="56.660000000000004"/>
  </r>
  <r>
    <d v="2026-08-31T00:00:00"/>
    <n v="212"/>
    <s v="Woodland"/>
    <n v="2235.6999999999998"/>
    <n v="2118.7199999999993"/>
    <x v="20"/>
    <x v="9"/>
    <x v="1"/>
    <n v="42.37"/>
    <n v="0.05"/>
    <n v="105.94"/>
    <n v="148.31"/>
  </r>
  <r>
    <d v="2026-08-31T00:00:00"/>
    <n v="216"/>
    <s v="NE Columbia"/>
    <n v="2435.87"/>
    <n v="2388.64"/>
    <x v="21"/>
    <x v="6"/>
    <x v="4"/>
    <n v="47.77"/>
    <n v="0.05"/>
    <n v="119.43"/>
    <n v="167.20000000000002"/>
  </r>
  <r>
    <d v="2026-08-31T00:00:00"/>
    <n v="228"/>
    <s v="Auburn Village"/>
    <n v="1053.44"/>
    <n v="1053.44"/>
    <x v="22"/>
    <x v="10"/>
    <x v="1"/>
    <n v="21.07"/>
    <n v="0.05"/>
    <n v="52.67"/>
    <n v="73.740000000000009"/>
  </r>
  <r>
    <d v="2026-08-31T00:00:00"/>
    <n v="231"/>
    <s v="Kennesaw"/>
    <n v="2157.1"/>
    <n v="2153.3000000000002"/>
    <x v="23"/>
    <x v="11"/>
    <x v="6"/>
    <n v="43.07"/>
    <n v="0.05"/>
    <n v="107.67"/>
    <n v="150.74"/>
  </r>
  <r>
    <d v="2026-08-31T00:00:00"/>
    <n v="241"/>
    <s v="Woods Cross"/>
    <n v="2172.63"/>
    <n v="2147.56"/>
    <x v="24"/>
    <x v="5"/>
    <x v="3"/>
    <n v="42.95"/>
    <n v="0.01"/>
    <n v="21.48"/>
    <n v="64.430000000000007"/>
  </r>
  <r>
    <d v="2026-08-31T00:00:00"/>
    <n v="244"/>
    <s v="Redfield Promenade"/>
    <n v="1705.93"/>
    <n v="1679.99"/>
    <x v="25"/>
    <x v="12"/>
    <x v="1"/>
    <n v="33.6"/>
    <n v="0.05"/>
    <n v="84"/>
    <n v="117.6"/>
  </r>
  <r>
    <d v="2026-08-31T00:00:00"/>
    <n v="245"/>
    <s v="Evansville"/>
    <n v="1156.25"/>
    <n v="1098.8499999999999"/>
    <x v="26"/>
    <x v="7"/>
    <x v="5"/>
    <n v="21.98"/>
    <n v="0.05"/>
    <n v="54.94"/>
    <n v="76.92"/>
  </r>
  <r>
    <d v="2026-08-31T00:00:00"/>
    <n v="251"/>
    <s v="Westminster Promenade"/>
    <n v="3142.2"/>
    <n v="2951.3800000000019"/>
    <x v="27"/>
    <x v="0"/>
    <x v="0"/>
    <n v="59.03"/>
    <n v="0.05"/>
    <n v="147.57"/>
    <n v="206.6"/>
  </r>
  <r>
    <d v="2026-08-31T00:00:00"/>
    <n v="253"/>
    <s v="Park City"/>
    <n v="2137.64"/>
    <n v="2133.65"/>
    <x v="28"/>
    <x v="5"/>
    <x v="3"/>
    <n v="42.67"/>
    <n v="0.01"/>
    <n v="21.34"/>
    <n v="64.010000000000005"/>
  </r>
  <r>
    <d v="2026-08-31T00:00:00"/>
    <n v="256"/>
    <s v="South Academy Highlands"/>
    <n v="2284.87"/>
    <n v="2221.06"/>
    <x v="29"/>
    <x v="0"/>
    <x v="0"/>
    <n v="44.42"/>
    <n v="0.05"/>
    <n v="111.05"/>
    <n v="155.47"/>
  </r>
  <r>
    <d v="2026-08-31T00:00:00"/>
    <n v="258"/>
    <s v="Riverdale"/>
    <n v="1736.55"/>
    <n v="1713.74"/>
    <x v="30"/>
    <x v="5"/>
    <x v="3"/>
    <n v="34.270000000000003"/>
    <n v="0.01"/>
    <n v="17.14"/>
    <n v="51.410000000000004"/>
  </r>
  <r>
    <d v="2026-08-31T00:00:00"/>
    <n v="260"/>
    <s v="Highlands Ranch"/>
    <n v="2673.86"/>
    <n v="2611.4399999999973"/>
    <x v="31"/>
    <x v="0"/>
    <x v="0"/>
    <n v="52.23"/>
    <n v="0.05"/>
    <n v="130.57"/>
    <n v="182.79999999999998"/>
  </r>
  <r>
    <d v="2026-08-31T00:00:00"/>
    <n v="265"/>
    <s v="Dublin Commons"/>
    <n v="3141.9"/>
    <n v="3106.57"/>
    <x v="32"/>
    <x v="0"/>
    <x v="0"/>
    <n v="62.13"/>
    <n v="0.05"/>
    <n v="155.33000000000001"/>
    <n v="217.46"/>
  </r>
  <r>
    <d v="2026-08-31T00:00:00"/>
    <n v="267"/>
    <s v="Decatur"/>
    <n v="1027.28"/>
    <n v="1007.69"/>
    <x v="33"/>
    <x v="13"/>
    <x v="7"/>
    <n v="20.149999999999999"/>
    <n v="0.01"/>
    <n v="10.08"/>
    <n v="30.229999999999997"/>
  </r>
  <r>
    <d v="2026-08-31T00:00:00"/>
    <n v="272"/>
    <s v="Northfield Commons"/>
    <n v="2447.58"/>
    <n v="2308.5300000000011"/>
    <x v="34"/>
    <x v="0"/>
    <x v="0"/>
    <n v="46.17"/>
    <n v="0.05"/>
    <n v="115.43"/>
    <n v="161.60000000000002"/>
  </r>
  <r>
    <d v="2026-08-31T00:00:00"/>
    <n v="278"/>
    <s v="Diamond Circle"/>
    <n v="1767.29"/>
    <n v="1761.8"/>
    <x v="35"/>
    <x v="0"/>
    <x v="0"/>
    <n v="35.24"/>
    <n v="0.05"/>
    <n v="88.09"/>
    <n v="123.33000000000001"/>
  </r>
  <r>
    <d v="2026-08-31T00:00:00"/>
    <n v="279"/>
    <s v="Lexington"/>
    <n v="1848.71"/>
    <n v="1827.65"/>
    <x v="36"/>
    <x v="6"/>
    <x v="4"/>
    <n v="36.549999999999997"/>
    <n v="0.05"/>
    <n v="91.38"/>
    <n v="127.92999999999999"/>
  </r>
  <r>
    <d v="2026-08-31T00:00:00"/>
    <n v="285"/>
    <s v="Polaris Pointe"/>
    <n v="2938.84"/>
    <n v="2857.2900000000004"/>
    <x v="37"/>
    <x v="0"/>
    <x v="0"/>
    <n v="57.15"/>
    <n v="0.05"/>
    <n v="142.86000000000001"/>
    <n v="200.01000000000002"/>
  </r>
  <r>
    <d v="2026-08-31T00:00:00"/>
    <n v="292"/>
    <s v="Greeley"/>
    <n v="2408.2800000000002"/>
    <n v="2392.33"/>
    <x v="38"/>
    <x v="0"/>
    <x v="0"/>
    <n v="47.85"/>
    <n v="0.05"/>
    <n v="119.62"/>
    <n v="167.47"/>
  </r>
  <r>
    <d v="2026-08-31T00:00:00"/>
    <n v="293"/>
    <s v="West Sacramento"/>
    <n v="1273.3699999999999"/>
    <n v="1253.29"/>
    <x v="39"/>
    <x v="14"/>
    <x v="1"/>
    <n v="25.07"/>
    <n v="0.05"/>
    <n v="62.66"/>
    <n v="87.72999999999999"/>
  </r>
  <r>
    <d v="2026-08-31T00:00:00"/>
    <n v="296"/>
    <s v="Rancho Cordova"/>
    <n v="1593.98"/>
    <n v="1588.02"/>
    <x v="40"/>
    <x v="15"/>
    <x v="1"/>
    <n v="31.76"/>
    <n v="0.05"/>
    <n v="79.400000000000006"/>
    <n v="111.16000000000001"/>
  </r>
  <r>
    <d v="2026-08-31T00:00:00"/>
    <n v="324"/>
    <s v="American Fork"/>
    <n v="1699.39"/>
    <n v="1666.54"/>
    <x v="41"/>
    <x v="5"/>
    <x v="3"/>
    <n v="33.33"/>
    <n v="0.01"/>
    <n v="16.670000000000002"/>
    <n v="50"/>
  </r>
  <r>
    <d v="2026-08-31T00:00:00"/>
    <n v="325"/>
    <s v="Sugar House"/>
    <n v="1292.28"/>
    <n v="1259.5899999999999"/>
    <x v="42"/>
    <x v="5"/>
    <x v="3"/>
    <n v="25.19"/>
    <n v="0.01"/>
    <n v="12.6"/>
    <n v="37.79"/>
  </r>
  <r>
    <d v="2026-08-31T00:00:00"/>
    <n v="332"/>
    <s v="Riverton"/>
    <n v="1581.34"/>
    <n v="1560.82"/>
    <x v="43"/>
    <x v="5"/>
    <x v="3"/>
    <n v="31.22"/>
    <n v="0.01"/>
    <n v="15.61"/>
    <n v="46.83"/>
  </r>
  <r>
    <d v="2026-08-31T00:00:00"/>
    <n v="334"/>
    <s v="Layton"/>
    <n v="1479.95"/>
    <n v="1439.13"/>
    <x v="44"/>
    <x v="5"/>
    <x v="3"/>
    <n v="28.78"/>
    <n v="0.01"/>
    <n v="14.39"/>
    <n v="43.17"/>
  </r>
  <r>
    <d v="2026-08-31T00:00:00"/>
    <n v="338"/>
    <s v="Augusta Exchange"/>
    <n v="1513.23"/>
    <n v="1405.26"/>
    <x v="45"/>
    <x v="6"/>
    <x v="4"/>
    <n v="28.11"/>
    <n v="0.05"/>
    <n v="70.260000000000005"/>
    <n v="98.37"/>
  </r>
  <r>
    <d v="2026-08-31T00:00:00"/>
    <n v="348"/>
    <s v="Bend North"/>
    <n v="2125.34"/>
    <n v="2045.99"/>
    <x v="46"/>
    <x v="5"/>
    <x v="3"/>
    <n v="40.92"/>
    <n v="0.01"/>
    <n v="20.46"/>
    <n v="61.38"/>
  </r>
  <r>
    <d v="2026-08-31T00:00:00"/>
    <n v="349"/>
    <s v="South Medford"/>
    <n v="2731.77"/>
    <n v="2657.24"/>
    <x v="47"/>
    <x v="5"/>
    <x v="3"/>
    <n v="53.14"/>
    <n v="0.01"/>
    <n v="26.57"/>
    <n v="79.710000000000008"/>
  </r>
  <r>
    <d v="2026-08-31T00:00:00"/>
    <n v="352"/>
    <s v="Georgetown"/>
    <n v="1812.66"/>
    <n v="1484.64"/>
    <x v="48"/>
    <x v="7"/>
    <x v="5"/>
    <n v="29.69"/>
    <n v="0.05"/>
    <n v="74.23"/>
    <n v="103.92"/>
  </r>
  <r>
    <d v="2026-08-31T00:00:00"/>
    <n v="366"/>
    <s v="Saratoga Springs"/>
    <n v="1853.74"/>
    <n v="1847.05"/>
    <x v="49"/>
    <x v="5"/>
    <x v="3"/>
    <n v="36.94"/>
    <n v="0.01"/>
    <n v="18.47"/>
    <n v="55.41"/>
  </r>
  <r>
    <d v="2026-08-31T00:00:00"/>
    <n v="384"/>
    <s v="Ralston Creek"/>
    <n v="2278.5"/>
    <n v="2224.0600000000004"/>
    <x v="50"/>
    <x v="0"/>
    <x v="0"/>
    <n v="44.48"/>
    <n v="0.05"/>
    <n v="111.2"/>
    <n v="155.68"/>
  </r>
  <r>
    <d v="2026-08-31T00:00:00"/>
    <n v="413"/>
    <s v="Madison"/>
    <n v="1240.43"/>
    <n v="1230.5"/>
    <x v="51"/>
    <x v="16"/>
    <x v="8"/>
    <n v="24.61"/>
    <n v="0.01"/>
    <n v="12.31"/>
    <n v="36.92"/>
  </r>
  <r>
    <d v="2026-08-31T00:00:00"/>
    <n v="421"/>
    <s v="Fort Union"/>
    <n v="1862.62"/>
    <n v="1835.03"/>
    <x v="52"/>
    <x v="5"/>
    <x v="3"/>
    <n v="36.700000000000003"/>
    <n v="0.01"/>
    <n v="18.350000000000001"/>
    <n v="55.050000000000004"/>
  </r>
  <r>
    <d v="2026-08-31T00:00:00"/>
    <n v="425"/>
    <s v="Crown Point"/>
    <n v="2495.36"/>
    <n v="2419.44"/>
    <x v="53"/>
    <x v="0"/>
    <x v="0"/>
    <n v="48.39"/>
    <n v="0.05"/>
    <n v="120.97"/>
    <n v="169.36"/>
  </r>
  <r>
    <d v="2026-08-31T00:00:00"/>
    <n v="429"/>
    <s v="South Jordan"/>
    <n v="2095.71"/>
    <n v="2059.2600000000002"/>
    <x v="54"/>
    <x v="5"/>
    <x v="3"/>
    <n v="41.19"/>
    <n v="0.01"/>
    <n v="20.59"/>
    <n v="61.78"/>
  </r>
  <r>
    <d v="2026-08-31T00:00:00"/>
    <n v="433"/>
    <s v="Grants Pass"/>
    <n v="2292.9699999999998"/>
    <n v="2223.7800000000002"/>
    <x v="55"/>
    <x v="5"/>
    <x v="3"/>
    <n v="44.48"/>
    <n v="0.01"/>
    <n v="22.24"/>
    <n v="66.72"/>
  </r>
  <r>
    <d v="2026-08-31T00:00:00"/>
    <n v="452"/>
    <s v="Mobile"/>
    <n v="1492.98"/>
    <n v="1430.8"/>
    <x v="56"/>
    <x v="17"/>
    <x v="7"/>
    <n v="28.62"/>
    <n v="0.01"/>
    <n v="14.31"/>
    <n v="42.93"/>
  </r>
  <r>
    <d v="2026-08-31T00:00:00"/>
    <n v="478"/>
    <s v="Pocatello"/>
    <n v="1098.2"/>
    <n v="1011.87"/>
    <x v="57"/>
    <x v="5"/>
    <x v="3"/>
    <n v="20.239999999999998"/>
    <n v="0.01"/>
    <n v="10.119999999999999"/>
    <n v="30.36"/>
  </r>
  <r>
    <d v="2026-08-31T00:00:00"/>
    <n v="514"/>
    <s v="Spanish Fork"/>
    <n v="2035.29"/>
    <n v="1912.6"/>
    <x v="58"/>
    <x v="5"/>
    <x v="3"/>
    <n v="38.25"/>
    <n v="0.01"/>
    <n v="19.13"/>
    <n v="57.379999999999995"/>
  </r>
  <r>
    <d v="2026-08-31T00:00:00"/>
    <n v="515"/>
    <s v="Downtown Boise"/>
    <n v="1234.83"/>
    <n v="1231.43"/>
    <x v="59"/>
    <x v="5"/>
    <x v="3"/>
    <n v="24.63"/>
    <n v="0.01"/>
    <n v="12.31"/>
    <n v="36.94"/>
  </r>
  <r>
    <d v="2026-08-31T00:00:00"/>
    <n v="521"/>
    <s v="Boise Town Square"/>
    <n v="1253.05"/>
    <n v="1234.52"/>
    <x v="60"/>
    <x v="5"/>
    <x v="3"/>
    <n v="24.69"/>
    <n v="0.01"/>
    <n v="12.35"/>
    <n v="37.04"/>
  </r>
  <r>
    <d v="2026-08-31T00:00:00"/>
    <n v="586"/>
    <s v="Johnstown"/>
    <n v="2507.91"/>
    <n v="2381.1400000000008"/>
    <x v="61"/>
    <x v="0"/>
    <x v="0"/>
    <n v="47.62"/>
    <n v="0.05"/>
    <n v="119.06"/>
    <n v="166.68"/>
  </r>
  <r>
    <d v="2026-08-31T00:00:00"/>
    <n v="605"/>
    <s v="Campus Oaks"/>
    <n v="2095.9899999999998"/>
    <n v="1911.2800000000002"/>
    <x v="62"/>
    <x v="18"/>
    <x v="1"/>
    <n v="38.229999999999997"/>
    <n v="0.05"/>
    <n v="95.56"/>
    <n v="133.79"/>
  </r>
  <r>
    <d v="2026-08-31T00:00:00"/>
    <n v="607"/>
    <s v="Tower"/>
    <n v="2679.65"/>
    <n v="2638.69"/>
    <x v="63"/>
    <x v="0"/>
    <x v="0"/>
    <n v="52.77"/>
    <n v="0.05"/>
    <n v="131.93"/>
    <n v="184.70000000000002"/>
  </r>
  <r>
    <d v="2026-08-31T00:00:00"/>
    <n v="608"/>
    <s v="Sheridan Parkway"/>
    <n v="3538.51"/>
    <n v="3448.1600000000039"/>
    <x v="64"/>
    <x v="0"/>
    <x v="0"/>
    <n v="68.959999999999994"/>
    <n v="0.05"/>
    <n v="172.41"/>
    <n v="241.37"/>
  </r>
  <r>
    <d v="2026-08-31T00:00:00"/>
    <n v="616"/>
    <s v="Eureka"/>
    <n v="1983.64"/>
    <n v="1948.46"/>
    <x v="65"/>
    <x v="19"/>
    <x v="1"/>
    <n v="38.97"/>
    <n v="0.05"/>
    <n v="97.42"/>
    <n v="136.38999999999999"/>
  </r>
  <r>
    <d v="2026-08-31T00:00:00"/>
    <n v="617"/>
    <s v="Lowry"/>
    <n v="2376.61"/>
    <n v="2311.3200000000002"/>
    <x v="66"/>
    <x v="0"/>
    <x v="0"/>
    <n v="46.23"/>
    <n v="0.05"/>
    <n v="115.57"/>
    <n v="161.79999999999998"/>
  </r>
  <r>
    <d v="2026-08-31T00:00:00"/>
    <n v="648"/>
    <s v="Belmont Market"/>
    <n v="1758.92"/>
    <n v="1646.97"/>
    <x v="67"/>
    <x v="20"/>
    <x v="9"/>
    <n v="16.47"/>
    <n v="0.02"/>
    <n v="32.94"/>
    <n v="49.41"/>
  </r>
  <r>
    <d v="2026-08-31T00:00:00"/>
    <n v="659"/>
    <s v="Ammon"/>
    <n v="1082.6500000000001"/>
    <n v="1058.6400000000001"/>
    <x v="68"/>
    <x v="5"/>
    <x v="3"/>
    <n v="21.17"/>
    <n v="0.01"/>
    <n v="10.59"/>
    <n v="31.76"/>
  </r>
  <r>
    <d v="2026-08-31T00:00:00"/>
    <n v="699"/>
    <s v="Grand Junction"/>
    <n v="1569.12"/>
    <n v="1521.1900000000023"/>
    <x v="69"/>
    <x v="0"/>
    <x v="0"/>
    <n v="30.42"/>
    <n v="0.05"/>
    <n v="76.06"/>
    <n v="106.48"/>
  </r>
  <r>
    <d v="2026-08-31T00:00:00"/>
    <n v="711"/>
    <s v="Country Club Centre"/>
    <n v="823.04"/>
    <n v="785.17"/>
    <x v="70"/>
    <x v="21"/>
    <x v="9"/>
    <n v="7.85"/>
    <n v="0.01"/>
    <n v="7.85"/>
    <n v="15.7"/>
  </r>
  <r>
    <d v="2026-08-31T00:00:00"/>
    <n v="722"/>
    <s v="Creekwalk"/>
    <n v="1849.71"/>
    <n v="1802.09"/>
    <x v="71"/>
    <x v="0"/>
    <x v="0"/>
    <n v="36.04"/>
    <n v="0.02"/>
    <n v="36.04"/>
    <n v="72.08"/>
  </r>
  <r>
    <d v="2026-08-31T00:00:00"/>
    <n v="731"/>
    <s v="Naval Air Station Norfolk"/>
    <n v="1230.33"/>
    <n v="1226.1099999999999"/>
    <x v="72"/>
    <x v="22"/>
    <x v="10"/>
    <n v="6.13"/>
    <n v="0.02"/>
    <n v="24.52"/>
    <n v="30.65"/>
  </r>
  <r>
    <d v="2026-08-31T00:00:00"/>
    <n v="761"/>
    <s v="Roseburg"/>
    <n v="1154.6199999999999"/>
    <n v="1105.8800000000001"/>
    <x v="73"/>
    <x v="5"/>
    <x v="3"/>
    <n v="22.12"/>
    <n v="0.01"/>
    <n v="11.06"/>
    <n v="33.18"/>
  </r>
  <r>
    <d v="2026-08-31T00:00:00"/>
    <n v="777"/>
    <s v="Springfield-Oregon"/>
    <n v="1617.32"/>
    <n v="1581.66"/>
    <x v="74"/>
    <x v="5"/>
    <x v="3"/>
    <n v="31.63"/>
    <n v="0.01"/>
    <n v="15.82"/>
    <n v="47.45"/>
  </r>
  <r>
    <d v="2026-08-31T00:00:00"/>
    <n v="820"/>
    <s v="Churn Creek"/>
    <n v="2374.4899999999998"/>
    <n v="2210.9999999999991"/>
    <x v="75"/>
    <x v="23"/>
    <x v="1"/>
    <n v="44.22"/>
    <n v="0.05"/>
    <n v="110.55"/>
    <n v="154.76999999999998"/>
  </r>
  <r>
    <d v="2026-08-24T00:00:00"/>
    <n v="228"/>
    <s v="Auburn Village"/>
    <n v="1175.3800000000001"/>
    <n v="1140.1099999999999"/>
    <x v="22"/>
    <x v="10"/>
    <x v="1"/>
    <n v="22.8"/>
    <n v="0.05"/>
    <n v="57.01"/>
    <n v="79.81"/>
  </r>
  <r>
    <d v="2026-08-24T00:00:00"/>
    <n v="231"/>
    <s v="Kennesaw"/>
    <n v="2064.84"/>
    <n v="2061.85"/>
    <x v="23"/>
    <x v="11"/>
    <x v="6"/>
    <n v="41.24"/>
    <n v="0.05"/>
    <n v="103.09"/>
    <n v="144.33000000000001"/>
  </r>
  <r>
    <d v="2026-08-24T00:00:00"/>
    <n v="241"/>
    <s v="Woods Cross"/>
    <n v="2320.2199999999998"/>
    <n v="2286.39"/>
    <x v="24"/>
    <x v="5"/>
    <x v="3"/>
    <n v="45.73"/>
    <n v="0.01"/>
    <n v="22.86"/>
    <n v="68.59"/>
  </r>
  <r>
    <d v="2026-08-24T00:00:00"/>
    <n v="244"/>
    <s v="Redfield Promenade"/>
    <n v="1341.64"/>
    <n v="1308.3699999999999"/>
    <x v="25"/>
    <x v="12"/>
    <x v="1"/>
    <n v="26.17"/>
    <n v="0.05"/>
    <n v="65.42"/>
    <n v="91.59"/>
  </r>
  <r>
    <d v="2026-08-24T00:00:00"/>
    <n v="245"/>
    <s v="Evansville"/>
    <n v="1152.1199999999999"/>
    <n v="1095.3800000000001"/>
    <x v="26"/>
    <x v="7"/>
    <x v="5"/>
    <n v="21.91"/>
    <n v="0.05"/>
    <n v="54.77"/>
    <n v="76.680000000000007"/>
  </r>
  <r>
    <d v="2026-08-24T00:00:00"/>
    <n v="251"/>
    <s v="Westminster Promenade"/>
    <n v="3123.19"/>
    <n v="3005.5300000000007"/>
    <x v="27"/>
    <x v="0"/>
    <x v="0"/>
    <n v="60.11"/>
    <n v="0.05"/>
    <n v="150.28"/>
    <n v="210.39"/>
  </r>
  <r>
    <d v="2026-08-24T00:00:00"/>
    <n v="253"/>
    <s v="Park City"/>
    <n v="1739.45"/>
    <n v="1730.16"/>
    <x v="28"/>
    <x v="5"/>
    <x v="3"/>
    <n v="34.6"/>
    <n v="0.01"/>
    <n v="17.3"/>
    <n v="51.900000000000006"/>
  </r>
  <r>
    <d v="2026-08-24T00:00:00"/>
    <n v="256"/>
    <s v="South Academy Highlands"/>
    <n v="2323.5300000000002"/>
    <n v="2091.1899999999982"/>
    <x v="29"/>
    <x v="0"/>
    <x v="0"/>
    <n v="41.82"/>
    <n v="0.05"/>
    <n v="104.56"/>
    <n v="146.38"/>
  </r>
  <r>
    <d v="2026-08-24T00:00:00"/>
    <n v="258"/>
    <s v="Riverdale"/>
    <n v="1631.09"/>
    <n v="1607.28"/>
    <x v="30"/>
    <x v="5"/>
    <x v="3"/>
    <n v="32.15"/>
    <n v="0.01"/>
    <n v="16.07"/>
    <n v="48.22"/>
  </r>
  <r>
    <d v="2026-08-24T00:00:00"/>
    <n v="260"/>
    <s v="Highlands Ranch"/>
    <n v="2612.2800000000002"/>
    <n v="2525.880000000001"/>
    <x v="31"/>
    <x v="0"/>
    <x v="0"/>
    <n v="50.52"/>
    <n v="0.05"/>
    <n v="126.29"/>
    <n v="176.81"/>
  </r>
  <r>
    <d v="2026-08-24T00:00:00"/>
    <n v="265"/>
    <s v="Dublin Commons"/>
    <n v="4084.63"/>
    <n v="3956.29"/>
    <x v="32"/>
    <x v="0"/>
    <x v="0"/>
    <n v="79.13"/>
    <n v="0.05"/>
    <n v="197.81"/>
    <n v="276.94"/>
  </r>
  <r>
    <d v="2026-08-24T00:00:00"/>
    <n v="267"/>
    <s v="Decatur"/>
    <n v="960.33"/>
    <n v="954.34"/>
    <x v="33"/>
    <x v="13"/>
    <x v="7"/>
    <n v="19.09"/>
    <n v="0.01"/>
    <n v="9.5399999999999991"/>
    <n v="28.63"/>
  </r>
  <r>
    <d v="2026-08-24T00:00:00"/>
    <n v="272"/>
    <s v="Northfield Commons"/>
    <n v="2706.7"/>
    <n v="2648.76"/>
    <x v="34"/>
    <x v="0"/>
    <x v="0"/>
    <n v="52.98"/>
    <n v="0.05"/>
    <n v="132.44"/>
    <n v="185.42"/>
  </r>
  <r>
    <d v="2026-08-24T00:00:00"/>
    <n v="278"/>
    <s v="Diamond Circle"/>
    <n v="1940.5"/>
    <n v="1910.93"/>
    <x v="35"/>
    <x v="0"/>
    <x v="0"/>
    <n v="38.22"/>
    <n v="0.05"/>
    <n v="95.55"/>
    <n v="133.76999999999998"/>
  </r>
  <r>
    <d v="2026-08-24T00:00:00"/>
    <n v="279"/>
    <s v="Lexington"/>
    <n v="1419.36"/>
    <n v="1350.87"/>
    <x v="36"/>
    <x v="6"/>
    <x v="4"/>
    <n v="27.02"/>
    <n v="0.05"/>
    <n v="67.540000000000006"/>
    <n v="94.56"/>
  </r>
  <r>
    <d v="2026-08-24T00:00:00"/>
    <n v="285"/>
    <s v="Polaris Pointe"/>
    <n v="2340.14"/>
    <n v="2250.6699999999973"/>
    <x v="37"/>
    <x v="0"/>
    <x v="0"/>
    <n v="45.01"/>
    <n v="0.05"/>
    <n v="112.53"/>
    <n v="157.54"/>
  </r>
  <r>
    <d v="2026-08-24T00:00:00"/>
    <n v="292"/>
    <s v="Greeley"/>
    <n v="1703.12"/>
    <n v="1602.2099999999941"/>
    <x v="38"/>
    <x v="0"/>
    <x v="0"/>
    <n v="32.04"/>
    <n v="0.05"/>
    <n v="80.11"/>
    <n v="112.15"/>
  </r>
  <r>
    <d v="2026-08-24T00:00:00"/>
    <n v="293"/>
    <s v="West Sacramento"/>
    <n v="1865.65"/>
    <n v="1861.28"/>
    <x v="39"/>
    <x v="14"/>
    <x v="1"/>
    <n v="37.229999999999997"/>
    <n v="0.05"/>
    <n v="93.06"/>
    <n v="130.29"/>
  </r>
  <r>
    <d v="2026-08-24T00:00:00"/>
    <n v="296"/>
    <s v="Rancho Cordova"/>
    <n v="1169.67"/>
    <n v="1169.67"/>
    <x v="40"/>
    <x v="15"/>
    <x v="1"/>
    <n v="23.39"/>
    <n v="0.05"/>
    <n v="58.48"/>
    <n v="81.87"/>
  </r>
  <r>
    <d v="2026-08-24T00:00:00"/>
    <n v="324"/>
    <s v="American Fork"/>
    <n v="1949.5"/>
    <n v="1913.21"/>
    <x v="41"/>
    <x v="5"/>
    <x v="3"/>
    <n v="38.26"/>
    <n v="0.01"/>
    <n v="19.13"/>
    <n v="57.39"/>
  </r>
  <r>
    <d v="2026-08-24T00:00:00"/>
    <n v="325"/>
    <s v="Sugar House"/>
    <n v="1586.56"/>
    <n v="1534.16"/>
    <x v="42"/>
    <x v="5"/>
    <x v="3"/>
    <n v="30.68"/>
    <n v="0.01"/>
    <n v="15.34"/>
    <n v="46.019999999999996"/>
  </r>
  <r>
    <d v="2026-08-24T00:00:00"/>
    <n v="332"/>
    <s v="Riverton"/>
    <n v="1422.03"/>
    <n v="1394.51"/>
    <x v="43"/>
    <x v="5"/>
    <x v="3"/>
    <n v="27.89"/>
    <n v="0.01"/>
    <n v="13.95"/>
    <n v="41.84"/>
  </r>
  <r>
    <d v="2026-08-24T00:00:00"/>
    <n v="334"/>
    <s v="Layton"/>
    <n v="1877.78"/>
    <n v="1817.25"/>
    <x v="44"/>
    <x v="5"/>
    <x v="3"/>
    <n v="36.35"/>
    <n v="0.01"/>
    <n v="18.170000000000002"/>
    <n v="54.52"/>
  </r>
  <r>
    <d v="2026-08-24T00:00:00"/>
    <n v="338"/>
    <s v="Augusta Exchange"/>
    <n v="2231.21"/>
    <n v="2172.44"/>
    <x v="45"/>
    <x v="6"/>
    <x v="4"/>
    <n v="43.45"/>
    <n v="0.05"/>
    <n v="108.62"/>
    <n v="152.07"/>
  </r>
  <r>
    <d v="2026-08-24T00:00:00"/>
    <n v="348"/>
    <s v="Bend North"/>
    <n v="3019.32"/>
    <n v="2904.81"/>
    <x v="46"/>
    <x v="5"/>
    <x v="3"/>
    <n v="58.1"/>
    <n v="0.01"/>
    <n v="29.05"/>
    <n v="87.15"/>
  </r>
  <r>
    <d v="2026-08-24T00:00:00"/>
    <n v="349"/>
    <s v="South Medford"/>
    <n v="2291.14"/>
    <n v="2279.46"/>
    <x v="47"/>
    <x v="5"/>
    <x v="3"/>
    <n v="45.59"/>
    <n v="0.01"/>
    <n v="22.79"/>
    <n v="68.38"/>
  </r>
  <r>
    <d v="2026-08-24T00:00:00"/>
    <n v="352"/>
    <s v="Georgetown"/>
    <n v="1831.1"/>
    <n v="1586.91"/>
    <x v="48"/>
    <x v="7"/>
    <x v="5"/>
    <n v="31.74"/>
    <n v="0.05"/>
    <n v="79.349999999999994"/>
    <n v="111.08999999999999"/>
  </r>
  <r>
    <d v="2026-08-24T00:00:00"/>
    <n v="366"/>
    <s v="Saratoga Springs"/>
    <n v="2286.9899999999998"/>
    <n v="2234.36"/>
    <x v="49"/>
    <x v="5"/>
    <x v="3"/>
    <n v="44.69"/>
    <n v="0.01"/>
    <n v="22.34"/>
    <n v="67.03"/>
  </r>
  <r>
    <d v="2026-08-24T00:00:00"/>
    <n v="384"/>
    <s v="Ralston Creek"/>
    <n v="2433.63"/>
    <n v="2369.7000000000003"/>
    <x v="50"/>
    <x v="0"/>
    <x v="0"/>
    <n v="47.39"/>
    <n v="0.05"/>
    <n v="118.49"/>
    <n v="165.88"/>
  </r>
  <r>
    <d v="2026-08-24T00:00:00"/>
    <n v="413"/>
    <s v="Madison"/>
    <n v="882.84"/>
    <n v="875.95"/>
    <x v="51"/>
    <x v="16"/>
    <x v="8"/>
    <n v="17.52"/>
    <n v="0.01"/>
    <n v="8.76"/>
    <n v="26.28"/>
  </r>
  <r>
    <d v="2026-08-24T00:00:00"/>
    <n v="421"/>
    <s v="Fort Union"/>
    <n v="1913.08"/>
    <n v="1890.26"/>
    <x v="52"/>
    <x v="5"/>
    <x v="3"/>
    <n v="37.81"/>
    <n v="0.01"/>
    <n v="18.899999999999999"/>
    <n v="56.71"/>
  </r>
  <r>
    <d v="2026-08-24T00:00:00"/>
    <n v="425"/>
    <s v="Crown Point"/>
    <n v="2836.97"/>
    <n v="2786.4"/>
    <x v="53"/>
    <x v="0"/>
    <x v="0"/>
    <n v="55.73"/>
    <n v="0.05"/>
    <n v="139.32"/>
    <n v="195.04999999999998"/>
  </r>
  <r>
    <d v="2026-08-24T00:00:00"/>
    <n v="429"/>
    <s v="South Jordan"/>
    <n v="1974.43"/>
    <n v="1963.55"/>
    <x v="54"/>
    <x v="5"/>
    <x v="3"/>
    <n v="39.270000000000003"/>
    <n v="0.01"/>
    <n v="19.64"/>
    <n v="58.910000000000004"/>
  </r>
  <r>
    <d v="2026-08-24T00:00:00"/>
    <n v="433"/>
    <s v="Grants Pass"/>
    <n v="2462.08"/>
    <n v="2433.87"/>
    <x v="55"/>
    <x v="5"/>
    <x v="3"/>
    <n v="48.68"/>
    <n v="0.01"/>
    <n v="24.34"/>
    <n v="73.02"/>
  </r>
  <r>
    <d v="2026-08-24T00:00:00"/>
    <n v="452"/>
    <s v="Mobile"/>
    <n v="1051.6099999999999"/>
    <n v="1038.42"/>
    <x v="56"/>
    <x v="17"/>
    <x v="7"/>
    <n v="20.77"/>
    <n v="0.01"/>
    <n v="10.38"/>
    <n v="31.15"/>
  </r>
  <r>
    <d v="2026-08-24T00:00:00"/>
    <n v="478"/>
    <s v="Pocatello"/>
    <n v="1288.2"/>
    <n v="1191.99"/>
    <x v="57"/>
    <x v="5"/>
    <x v="3"/>
    <n v="23.84"/>
    <n v="0.01"/>
    <n v="11.92"/>
    <n v="35.76"/>
  </r>
  <r>
    <d v="2026-08-24T00:00:00"/>
    <n v="514"/>
    <s v="Spanish Fork"/>
    <n v="1738.66"/>
    <n v="1680.88"/>
    <x v="58"/>
    <x v="5"/>
    <x v="3"/>
    <n v="33.619999999999997"/>
    <n v="0.01"/>
    <n v="16.809999999999999"/>
    <n v="50.429999999999993"/>
  </r>
  <r>
    <d v="2026-08-24T00:00:00"/>
    <n v="515"/>
    <s v="Downtown Boise"/>
    <n v="1591.32"/>
    <n v="1591.31"/>
    <x v="59"/>
    <x v="5"/>
    <x v="3"/>
    <n v="31.83"/>
    <n v="0.01"/>
    <n v="15.91"/>
    <n v="47.739999999999995"/>
  </r>
  <r>
    <d v="2026-08-24T00:00:00"/>
    <n v="521"/>
    <s v="Boise Town Square"/>
    <n v="1460.82"/>
    <n v="1401.23"/>
    <x v="60"/>
    <x v="5"/>
    <x v="3"/>
    <n v="28.02"/>
    <n v="0.01"/>
    <n v="14.01"/>
    <n v="42.03"/>
  </r>
  <r>
    <d v="2026-08-24T00:00:00"/>
    <n v="586"/>
    <s v="Johnstown"/>
    <n v="2638.6"/>
    <n v="2530.6300000000047"/>
    <x v="61"/>
    <x v="0"/>
    <x v="0"/>
    <n v="50.61"/>
    <n v="0.05"/>
    <n v="126.53"/>
    <n v="177.14"/>
  </r>
  <r>
    <d v="2026-08-24T00:00:00"/>
    <n v="605"/>
    <s v="Campus Oaks"/>
    <n v="1929.1"/>
    <n v="1856.41"/>
    <x v="62"/>
    <x v="18"/>
    <x v="1"/>
    <n v="37.130000000000003"/>
    <n v="0.05"/>
    <n v="92.82"/>
    <n v="129.94999999999999"/>
  </r>
  <r>
    <d v="2026-08-24T00:00:00"/>
    <n v="607"/>
    <s v="Tower"/>
    <n v="3076.57"/>
    <n v="3041.1"/>
    <x v="63"/>
    <x v="0"/>
    <x v="0"/>
    <n v="60.82"/>
    <n v="0.05"/>
    <n v="152.06"/>
    <n v="212.88"/>
  </r>
  <r>
    <d v="2026-08-24T00:00:00"/>
    <n v="608"/>
    <s v="Sheridan Parkway"/>
    <n v="2334.3000000000002"/>
    <n v="2295.33"/>
    <x v="64"/>
    <x v="0"/>
    <x v="0"/>
    <n v="45.91"/>
    <n v="0.05"/>
    <n v="114.77"/>
    <n v="160.68"/>
  </r>
  <r>
    <d v="2026-08-24T00:00:00"/>
    <n v="616"/>
    <s v="Eureka"/>
    <n v="2146.25"/>
    <n v="2084.91"/>
    <x v="65"/>
    <x v="19"/>
    <x v="1"/>
    <n v="41.7"/>
    <n v="0.05"/>
    <n v="104.25"/>
    <n v="145.94999999999999"/>
  </r>
  <r>
    <d v="2026-08-24T00:00:00"/>
    <n v="617"/>
    <s v="Lowry"/>
    <n v="1683.4"/>
    <n v="1607.12"/>
    <x v="66"/>
    <x v="0"/>
    <x v="0"/>
    <n v="32.14"/>
    <n v="0.05"/>
    <n v="80.36"/>
    <n v="112.5"/>
  </r>
  <r>
    <d v="2026-08-24T00:00:00"/>
    <n v="648"/>
    <s v="Belmont Market"/>
    <n v="1889.1"/>
    <n v="1866.11"/>
    <x v="67"/>
    <x v="20"/>
    <x v="9"/>
    <n v="18.66"/>
    <n v="0.02"/>
    <n v="37.32"/>
    <n v="55.980000000000004"/>
  </r>
  <r>
    <d v="2026-08-24T00:00:00"/>
    <n v="659"/>
    <s v="Ammon"/>
    <n v="1391.36"/>
    <n v="1342.64"/>
    <x v="68"/>
    <x v="5"/>
    <x v="3"/>
    <n v="26.85"/>
    <n v="0.01"/>
    <n v="13.43"/>
    <n v="40.28"/>
  </r>
  <r>
    <d v="2026-08-24T00:00:00"/>
    <n v="699"/>
    <s v="Grand Junction"/>
    <n v="1904.46"/>
    <n v="1831.55"/>
    <x v="69"/>
    <x v="0"/>
    <x v="0"/>
    <n v="36.630000000000003"/>
    <n v="0.05"/>
    <n v="91.58"/>
    <n v="128.21"/>
  </r>
  <r>
    <d v="2026-08-24T00:00:00"/>
    <n v="711"/>
    <s v="Country Club Centre"/>
    <n v="1346.07"/>
    <n v="1249.72"/>
    <x v="70"/>
    <x v="21"/>
    <x v="9"/>
    <n v="12.5"/>
    <n v="0.01"/>
    <n v="12.5"/>
    <n v="25"/>
  </r>
  <r>
    <d v="2026-08-24T00:00:00"/>
    <n v="722"/>
    <s v="Creekwalk"/>
    <n v="1599.9"/>
    <n v="1523.43"/>
    <x v="71"/>
    <x v="0"/>
    <x v="0"/>
    <n v="30.47"/>
    <n v="0.02"/>
    <n v="30.47"/>
    <n v="60.94"/>
  </r>
  <r>
    <d v="2026-08-24T00:00:00"/>
    <n v="731"/>
    <s v="Naval Air Station Norfolk"/>
    <n v="1238.6500000000001"/>
    <n v="1227.8800000000001"/>
    <x v="72"/>
    <x v="22"/>
    <x v="10"/>
    <n v="6.14"/>
    <n v="0.02"/>
    <n v="24.56"/>
    <n v="30.7"/>
  </r>
  <r>
    <d v="2026-08-24T00:00:00"/>
    <n v="761"/>
    <s v="Roseburg"/>
    <n v="1987.01"/>
    <n v="1958.58"/>
    <x v="73"/>
    <x v="5"/>
    <x v="3"/>
    <n v="39.17"/>
    <n v="0.01"/>
    <n v="19.59"/>
    <n v="58.760000000000005"/>
  </r>
  <r>
    <d v="2026-08-24T00:00:00"/>
    <n v="777"/>
    <s v="Springfield-Oregon"/>
    <n v="1194.3399999999999"/>
    <n v="1118.5"/>
    <x v="74"/>
    <x v="5"/>
    <x v="3"/>
    <n v="22.37"/>
    <n v="0.01"/>
    <n v="11.19"/>
    <n v="33.56"/>
  </r>
  <r>
    <d v="2026-08-24T00:00:00"/>
    <n v="820"/>
    <s v="Churn Creek"/>
    <n v="2408.62"/>
    <n v="2369.61"/>
    <x v="75"/>
    <x v="23"/>
    <x v="1"/>
    <n v="47.39"/>
    <n v="0.05"/>
    <n v="118.48"/>
    <n v="165.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39"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location ref="A6:E32" firstHeaderRow="1" firstDataRow="2" firstDataCol="2" rowPageCount="1" colPageCount="1"/>
  <pivotFields count="12">
    <pivotField compact="0" numFmtId="14" outline="0" subtotalTop="0" showAll="0"/>
    <pivotField compact="0" numFmtId="1" outline="0" subtotalTop="0" showAll="0"/>
    <pivotField compact="0" outline="0" subtotalTop="0" showAll="0"/>
    <pivotField compact="0" outline="0" showAll="0"/>
    <pivotField compact="0" outline="0" showAll="0"/>
    <pivotField axis="axisPage" compact="0" outline="0" multipleItemSelectionAllowed="1" showAll="0">
      <items count="140">
        <item m="1" x="117"/>
        <item m="1" x="93"/>
        <item m="1" x="130"/>
        <item m="1" x="99"/>
        <item m="1" x="128"/>
        <item x="22"/>
        <item x="45"/>
        <item m="1" x="125"/>
        <item m="1" x="116"/>
        <item m="1" x="90"/>
        <item x="5"/>
        <item m="1" x="89"/>
        <item m="1" x="81"/>
        <item x="6"/>
        <item x="16"/>
        <item m="1" x="113"/>
        <item m="1" x="137"/>
        <item m="1" x="136"/>
        <item x="14"/>
        <item x="53"/>
        <item m="1" x="79"/>
        <item x="33"/>
        <item x="35"/>
        <item m="1" x="127"/>
        <item x="32"/>
        <item m="1" x="114"/>
        <item x="26"/>
        <item x="4"/>
        <item m="1" x="138"/>
        <item x="15"/>
        <item m="1" x="94"/>
        <item x="48"/>
        <item m="1" x="112"/>
        <item x="38"/>
        <item m="1" x="105"/>
        <item x="11"/>
        <item x="31"/>
        <item m="1" x="129"/>
        <item x="7"/>
        <item m="1" x="118"/>
        <item m="1" x="87"/>
        <item x="23"/>
        <item m="1" x="119"/>
        <item x="36"/>
        <item m="1" x="92"/>
        <item x="3"/>
        <item x="51"/>
        <item m="1" x="134"/>
        <item x="12"/>
        <item m="1" x="120"/>
        <item x="56"/>
        <item m="1" x="135"/>
        <item m="1" x="109"/>
        <item x="21"/>
        <item x="13"/>
        <item m="1" x="80"/>
        <item x="34"/>
        <item m="1" x="86"/>
        <item m="1" x="124"/>
        <item m="1" x="106"/>
        <item m="1" x="132"/>
        <item m="1" x="95"/>
        <item m="1" x="77"/>
        <item x="0"/>
        <item m="1" x="96"/>
        <item m="1" x="131"/>
        <item x="37"/>
        <item x="50"/>
        <item x="40"/>
        <item m="1" x="98"/>
        <item x="1"/>
        <item x="25"/>
        <item m="1" x="121"/>
        <item m="1" x="88"/>
        <item x="2"/>
        <item x="29"/>
        <item m="1" x="108"/>
        <item m="1" x="102"/>
        <item m="1" x="82"/>
        <item m="1" x="83"/>
        <item m="1" x="78"/>
        <item m="1" x="123"/>
        <item m="1" x="133"/>
        <item m="1" x="85"/>
        <item x="39"/>
        <item x="27"/>
        <item x="10"/>
        <item m="1" x="101"/>
        <item x="9"/>
        <item x="20"/>
        <item m="1" x="84"/>
        <item h="1" m="1" x="76"/>
        <item m="1" x="126"/>
        <item x="61"/>
        <item x="67"/>
        <item m="1" x="115"/>
        <item m="1" x="122"/>
        <item m="1" x="110"/>
        <item x="65"/>
        <item x="63"/>
        <item x="64"/>
        <item x="66"/>
        <item m="1" x="104"/>
        <item x="62"/>
        <item m="1" x="111"/>
        <item m="1" x="107"/>
        <item m="1" x="100"/>
        <item m="1" x="103"/>
        <item x="69"/>
        <item m="1" x="97"/>
        <item m="1" x="91"/>
        <item x="70"/>
        <item x="71"/>
        <item x="75"/>
        <item x="72"/>
        <item x="8"/>
        <item x="17"/>
        <item x="18"/>
        <item x="19"/>
        <item x="24"/>
        <item x="28"/>
        <item x="30"/>
        <item x="41"/>
        <item x="42"/>
        <item x="43"/>
        <item x="44"/>
        <item x="46"/>
        <item x="47"/>
        <item x="49"/>
        <item x="52"/>
        <item x="54"/>
        <item x="55"/>
        <item x="57"/>
        <item x="58"/>
        <item x="59"/>
        <item x="60"/>
        <item x="68"/>
        <item x="73"/>
        <item x="74"/>
        <item t="default"/>
      </items>
    </pivotField>
    <pivotField axis="axisRow" compact="0" outline="0" showAll="0" sortType="ascending" defaultSubtotal="0">
      <items count="40">
        <item m="1" x="28"/>
        <item x="16"/>
        <item x="0"/>
        <item m="1" x="26"/>
        <item m="1" x="35"/>
        <item x="7"/>
        <item x="13"/>
        <item m="1" x="34"/>
        <item x="10"/>
        <item x="18"/>
        <item x="8"/>
        <item x="23"/>
        <item x="19"/>
        <item x="4"/>
        <item x="15"/>
        <item x="1"/>
        <item x="12"/>
        <item x="2"/>
        <item x="14"/>
        <item x="9"/>
        <item m="1" x="37"/>
        <item x="22"/>
        <item h="1" m="1" x="25"/>
        <item x="17"/>
        <item m="1" x="32"/>
        <item sd="0" m="1" x="38"/>
        <item m="1" x="30"/>
        <item m="1" x="33"/>
        <item x="6"/>
        <item m="1" x="39"/>
        <item m="1" x="29"/>
        <item m="1" x="31"/>
        <item x="11"/>
        <item x="5"/>
        <item x="3"/>
        <item m="1" x="36"/>
        <item x="20"/>
        <item x="21"/>
        <item m="1" x="24"/>
        <item m="1" x="27"/>
      </items>
      <extLst>
        <ext xmlns:x14="http://schemas.microsoft.com/office/spreadsheetml/2009/9/main" uri="{2946ED86-A175-432a-8AC1-64E0C546D7DE}">
          <x14:pivotField fillDownLabels="1"/>
        </ext>
      </extLst>
    </pivotField>
    <pivotField axis="axisRow" compact="0" outline="0" showAll="0" defaultSubtotal="0">
      <items count="21">
        <item x="4"/>
        <item x="5"/>
        <item m="1" x="19"/>
        <item x="6"/>
        <item m="1" x="20"/>
        <item x="0"/>
        <item m="1" x="14"/>
        <item x="2"/>
        <item m="1" x="15"/>
        <item m="1" x="12"/>
        <item h="1" m="1" x="17"/>
        <item m="1" x="13"/>
        <item h="1" m="1" x="18"/>
        <item x="9"/>
        <item m="1" x="16"/>
        <item x="10"/>
        <item x="1"/>
        <item x="8"/>
        <item x="7"/>
        <item x="3"/>
        <item m="1" x="11"/>
      </items>
      <extLst>
        <ext xmlns:x14="http://schemas.microsoft.com/office/spreadsheetml/2009/9/main" uri="{2946ED86-A175-432a-8AC1-64E0C546D7DE}">
          <x14:pivotField fillDownLabels="1"/>
        </ext>
      </extLst>
    </pivotField>
    <pivotField dataField="1" compact="0" numFmtId="2" outline="0" subtotalTop="0" showAll="0"/>
    <pivotField compact="0" numFmtId="10" outline="0" showAll="0"/>
    <pivotField dataField="1" compact="0" numFmtId="43" outline="0" showAll="0"/>
    <pivotField dataField="1" compact="0" outline="0" showAll="0"/>
  </pivotFields>
  <rowFields count="2">
    <field x="6"/>
    <field x="7"/>
  </rowFields>
  <rowItems count="25">
    <i>
      <x v="1"/>
      <x v="17"/>
    </i>
    <i>
      <x v="2"/>
      <x v="5"/>
    </i>
    <i>
      <x v="5"/>
      <x v="1"/>
    </i>
    <i>
      <x v="6"/>
      <x v="18"/>
    </i>
    <i>
      <x v="8"/>
      <x v="16"/>
    </i>
    <i>
      <x v="9"/>
      <x v="16"/>
    </i>
    <i>
      <x v="10"/>
      <x v="16"/>
    </i>
    <i>
      <x v="11"/>
      <x v="16"/>
    </i>
    <i>
      <x v="12"/>
      <x v="16"/>
    </i>
    <i>
      <x v="13"/>
      <x v="16"/>
    </i>
    <i>
      <x v="14"/>
      <x v="16"/>
    </i>
    <i>
      <x v="15"/>
      <x v="16"/>
    </i>
    <i>
      <x v="16"/>
      <x v="16"/>
    </i>
    <i>
      <x v="17"/>
      <x v="16"/>
    </i>
    <i>
      <x v="18"/>
      <x v="16"/>
    </i>
    <i>
      <x v="19"/>
      <x v="16"/>
    </i>
    <i>
      <x v="21"/>
      <x v="15"/>
    </i>
    <i>
      <x v="23"/>
      <x v="18"/>
    </i>
    <i>
      <x v="28"/>
      <x/>
    </i>
    <i>
      <x v="32"/>
      <x v="3"/>
    </i>
    <i>
      <x v="33"/>
      <x v="19"/>
    </i>
    <i>
      <x v="34"/>
      <x v="7"/>
    </i>
    <i>
      <x v="36"/>
      <x v="13"/>
    </i>
    <i>
      <x v="37"/>
      <x v="13"/>
    </i>
    <i t="grand">
      <x/>
    </i>
  </rowItems>
  <colFields count="1">
    <field x="-2"/>
  </colFields>
  <colItems count="3">
    <i>
      <x/>
    </i>
    <i i="1">
      <x v="1"/>
    </i>
    <i i="2">
      <x v="2"/>
    </i>
  </colItems>
  <pageFields count="1">
    <pageField fld="5" hier="-1"/>
  </pageFields>
  <dataFields count="3">
    <dataField name="Sum of Marketing Fee" fld="8" baseField="0" baseItem="0" numFmtId="2"/>
    <dataField name="Sum of Royalty Fee" fld="10" baseField="0" baseItem="0"/>
    <dataField name="Sum of Total" fld="11" baseField="0" baseItem="0" numFmtId="43"/>
  </dataFields>
  <formats count="41">
    <format dxfId="141">
      <pivotArea outline="0" collapsedLevelsAreSubtotals="1" fieldPosition="0">
        <references count="1">
          <reference field="4294967294" count="1" selected="0">
            <x v="0"/>
          </reference>
        </references>
      </pivotArea>
    </format>
    <format dxfId="140">
      <pivotArea outline="0" collapsedLevelsAreSubtotals="1" fieldPosition="0">
        <references count="1">
          <reference field="4294967294" count="1" selected="0">
            <x v="0"/>
          </reference>
        </references>
      </pivotArea>
    </format>
    <format dxfId="139">
      <pivotArea outline="0" collapsedLevelsAreSubtotals="1" fieldPosition="0">
        <references count="1">
          <reference field="4294967294" count="1" selected="0">
            <x v="0"/>
          </reference>
        </references>
      </pivotArea>
    </format>
    <format dxfId="138">
      <pivotArea outline="0" collapsedLevelsAreSubtotals="1" fieldPosition="0"/>
    </format>
    <format dxfId="137">
      <pivotArea outline="0" collapsedLevelsAreSubtotals="1" fieldPosition="0">
        <references count="1">
          <reference field="4294967294" count="1" selected="0">
            <x v="2"/>
          </reference>
        </references>
      </pivotArea>
    </format>
    <format dxfId="136">
      <pivotArea dataOnly="0" labelOnly="1" outline="0" fieldPosition="0">
        <references count="1">
          <reference field="4294967294" count="1">
            <x v="2"/>
          </reference>
        </references>
      </pivotArea>
    </format>
    <format dxfId="135">
      <pivotArea outline="0" collapsedLevelsAreSubtotals="1" fieldPosition="0">
        <references count="1">
          <reference field="4294967294" count="1" selected="0">
            <x v="2"/>
          </reference>
        </references>
      </pivotArea>
    </format>
    <format dxfId="134">
      <pivotArea dataOnly="0" labelOnly="1" outline="0" fieldPosition="0">
        <references count="1">
          <reference field="4294967294" count="1">
            <x v="2"/>
          </reference>
        </references>
      </pivotArea>
    </format>
    <format dxfId="133">
      <pivotArea outline="0" collapsedLevelsAreSubtotals="1" fieldPosition="0">
        <references count="1">
          <reference field="4294967294" count="1" selected="0">
            <x v="2"/>
          </reference>
        </references>
      </pivotArea>
    </format>
    <format dxfId="132">
      <pivotArea dataOnly="0" labelOnly="1" outline="0" fieldPosition="0">
        <references count="1">
          <reference field="4294967294" count="1">
            <x v="2"/>
          </reference>
        </references>
      </pivotArea>
    </format>
    <format dxfId="131">
      <pivotArea type="all" dataOnly="0" outline="0" fieldPosition="0"/>
    </format>
    <format dxfId="130">
      <pivotArea outline="0" collapsedLevelsAreSubtotals="1" fieldPosition="0"/>
    </format>
    <format dxfId="129">
      <pivotArea field="6" type="button" dataOnly="0" labelOnly="1" outline="0" axis="axisRow" fieldPosition="0"/>
    </format>
    <format dxfId="128">
      <pivotArea dataOnly="0" labelOnly="1" fieldPosition="0">
        <references count="1">
          <reference field="6" count="0"/>
        </references>
      </pivotArea>
    </format>
    <format dxfId="127">
      <pivotArea dataOnly="0" labelOnly="1" grandRow="1" outline="0" fieldPosition="0"/>
    </format>
    <format dxfId="126">
      <pivotArea dataOnly="0" labelOnly="1" outline="0" fieldPosition="0">
        <references count="1">
          <reference field="4294967294" count="2">
            <x v="0"/>
            <x v="2"/>
          </reference>
        </references>
      </pivotArea>
    </format>
    <format dxfId="125">
      <pivotArea collapsedLevelsAreSubtotals="1" fieldPosition="0">
        <references count="2">
          <reference field="4294967294" count="1" selected="0">
            <x v="2"/>
          </reference>
          <reference field="6" count="1">
            <x v="25"/>
          </reference>
        </references>
      </pivotArea>
    </format>
    <format dxfId="124">
      <pivotArea outline="0" fieldPosition="0">
        <references count="3">
          <reference field="4294967294" count="1" selected="0">
            <x v="2"/>
          </reference>
          <reference field="6" count="10" selected="0">
            <x v="2"/>
            <x v="5"/>
            <x v="26"/>
            <x v="27"/>
            <x v="28"/>
            <x v="29"/>
            <x v="30"/>
            <x v="32"/>
            <x v="34"/>
            <x v="35"/>
          </reference>
          <reference field="7" count="0" selected="0"/>
        </references>
      </pivotArea>
    </format>
    <format dxfId="123">
      <pivotArea outline="0" fieldPosition="0">
        <references count="3">
          <reference field="4294967294" count="1" selected="0">
            <x v="2"/>
          </reference>
          <reference field="6" count="7" selected="0">
            <x v="2"/>
            <x v="5"/>
            <x v="26"/>
            <x v="27"/>
            <x v="28"/>
            <x v="30"/>
            <x v="32"/>
          </reference>
          <reference field="7" count="6" selected="0">
            <x v="0"/>
            <x v="1"/>
            <x v="3"/>
            <x v="5"/>
            <x v="6"/>
            <x v="8"/>
          </reference>
        </references>
      </pivotArea>
    </format>
    <format dxfId="122">
      <pivotArea outline="0" fieldPosition="0">
        <references count="3">
          <reference field="4294967294" count="1" selected="0">
            <x v="2"/>
          </reference>
          <reference field="6" count="1" selected="0">
            <x v="35"/>
          </reference>
          <reference field="7" count="1" selected="0">
            <x v="13"/>
          </reference>
        </references>
      </pivotArea>
    </format>
    <format dxfId="121">
      <pivotArea outline="0" fieldPosition="0">
        <references count="1">
          <reference field="4294967294" count="1" selected="0">
            <x v="2"/>
          </reference>
        </references>
      </pivotArea>
    </format>
    <format dxfId="120">
      <pivotArea outline="0" fieldPosition="0">
        <references count="3">
          <reference field="4294967294" count="1" selected="0">
            <x v="2"/>
          </reference>
          <reference field="6" count="1" selected="0">
            <x v="34"/>
          </reference>
          <reference field="7" count="1" selected="0">
            <x v="7"/>
          </reference>
        </references>
      </pivotArea>
    </format>
    <format dxfId="119">
      <pivotArea dataOnly="0" labelOnly="1" outline="0" fieldPosition="0">
        <references count="1">
          <reference field="6" count="1">
            <x v="5"/>
          </reference>
        </references>
      </pivotArea>
    </format>
    <format dxfId="118">
      <pivotArea outline="0" fieldPosition="0">
        <references count="3">
          <reference field="4294967294" count="1" selected="0">
            <x v="2"/>
          </reference>
          <reference field="6" count="2" selected="0">
            <x v="36"/>
            <x v="37"/>
          </reference>
          <reference field="7" count="1" selected="0">
            <x v="13"/>
          </reference>
        </references>
      </pivotArea>
    </format>
    <format dxfId="117">
      <pivotArea outline="0" fieldPosition="0">
        <references count="3">
          <reference field="4294967294" count="1" selected="0">
            <x v="2"/>
          </reference>
          <reference field="6" count="1" selected="0">
            <x v="31"/>
          </reference>
          <reference field="7" count="1" selected="0">
            <x v="6"/>
          </reference>
        </references>
      </pivotArea>
    </format>
    <format dxfId="116">
      <pivotArea outline="0" fieldPosition="0">
        <references count="3">
          <reference field="4294967294" count="1" selected="0">
            <x v="2"/>
          </reference>
          <reference field="6" count="1" selected="0">
            <x v="24"/>
          </reference>
          <reference field="7" count="1" selected="0">
            <x v="14"/>
          </reference>
        </references>
      </pivotArea>
    </format>
    <format dxfId="115">
      <pivotArea dataOnly="0" labelOnly="1" outline="0" fieldPosition="0">
        <references count="1">
          <reference field="6" count="1">
            <x v="32"/>
          </reference>
        </references>
      </pivotArea>
    </format>
    <format dxfId="114">
      <pivotArea outline="0" fieldPosition="0">
        <references count="2">
          <reference field="6" count="1" selected="0">
            <x v="32"/>
          </reference>
          <reference field="7" count="1" selected="0">
            <x v="3"/>
          </reference>
        </references>
      </pivotArea>
    </format>
    <format dxfId="113">
      <pivotArea dataOnly="0" labelOnly="1" outline="0" fieldPosition="0">
        <references count="2">
          <reference field="6" count="1" selected="0">
            <x v="32"/>
          </reference>
          <reference field="7" count="1">
            <x v="3"/>
          </reference>
        </references>
      </pivotArea>
    </format>
    <format dxfId="112">
      <pivotArea outline="0" fieldPosition="0">
        <references count="3">
          <reference field="4294967294" count="1" selected="0">
            <x v="2"/>
          </reference>
          <reference field="6" count="1" selected="0">
            <x v="32"/>
          </reference>
          <reference field="7" count="1" selected="0">
            <x v="3"/>
          </reference>
        </references>
      </pivotArea>
    </format>
    <format dxfId="111">
      <pivotArea outline="0" fieldPosition="0">
        <references count="3">
          <reference field="4294967294" count="1" selected="0">
            <x v="2"/>
          </reference>
          <reference field="6" count="1" selected="0">
            <x v="21"/>
          </reference>
          <reference field="7" count="1" selected="0">
            <x v="15"/>
          </reference>
        </references>
      </pivotArea>
    </format>
    <format dxfId="110">
      <pivotArea outline="0" fieldPosition="0">
        <references count="3">
          <reference field="4294967294" count="1" selected="0">
            <x v="2"/>
          </reference>
          <reference field="6" count="12" selected="0">
            <x v="8"/>
            <x v="9"/>
            <x v="10"/>
            <x v="11"/>
            <x v="12"/>
            <x v="13"/>
            <x v="14"/>
            <x v="15"/>
            <x v="16"/>
            <x v="17"/>
            <x v="18"/>
            <x v="19"/>
          </reference>
          <reference field="7" count="1" selected="0">
            <x v="16"/>
          </reference>
        </references>
      </pivotArea>
    </format>
    <format dxfId="109">
      <pivotArea outline="0" fieldPosition="0">
        <references count="3">
          <reference field="4294967294" count="1" selected="0">
            <x v="2"/>
          </reference>
          <reference field="6" count="1" selected="0">
            <x v="1"/>
          </reference>
          <reference field="7" count="1" selected="0">
            <x v="17"/>
          </reference>
        </references>
      </pivotArea>
    </format>
    <format dxfId="108">
      <pivotArea outline="0" fieldPosition="0">
        <references count="3">
          <reference field="4294967294" count="1" selected="0">
            <x v="2"/>
          </reference>
          <reference field="6" count="1" selected="0">
            <x v="23"/>
          </reference>
          <reference field="7" count="1" selected="0">
            <x v="18"/>
          </reference>
        </references>
      </pivotArea>
    </format>
    <format dxfId="107">
      <pivotArea outline="0" fieldPosition="0">
        <references count="3">
          <reference field="4294967294" count="1" selected="0">
            <x v="2"/>
          </reference>
          <reference field="6" count="1" selected="0">
            <x v="23"/>
          </reference>
          <reference field="7" count="1" selected="0">
            <x v="18"/>
          </reference>
        </references>
      </pivotArea>
    </format>
    <format dxfId="106">
      <pivotArea outline="0" fieldPosition="0">
        <references count="3">
          <reference field="4294967294" count="1" selected="0">
            <x v="2"/>
          </reference>
          <reference field="6" count="1" selected="0">
            <x v="22"/>
          </reference>
          <reference field="7" count="1" selected="0">
            <x v="18"/>
          </reference>
        </references>
      </pivotArea>
    </format>
    <format dxfId="105">
      <pivotArea outline="0" fieldPosition="0">
        <references count="3">
          <reference field="4294967294" count="1" selected="0">
            <x v="2"/>
          </reference>
          <reference field="6" count="1" selected="0">
            <x v="33"/>
          </reference>
          <reference field="7" count="1" selected="0">
            <x v="19"/>
          </reference>
        </references>
      </pivotArea>
    </format>
    <format dxfId="104">
      <pivotArea dataOnly="0" labelOnly="1" outline="0" fieldPosition="0">
        <references count="1">
          <reference field="6" count="1">
            <x v="15"/>
          </reference>
        </references>
      </pivotArea>
    </format>
    <format dxfId="103">
      <pivotArea outline="0" fieldPosition="0">
        <references count="3">
          <reference field="4294967294" count="1" selected="0">
            <x v="2"/>
          </reference>
          <reference field="6" count="1" selected="0">
            <x v="6"/>
          </reference>
          <reference field="7" count="1" selected="0">
            <x v="18"/>
          </reference>
        </references>
      </pivotArea>
    </format>
    <format dxfId="102">
      <pivotArea outline="0" fieldPosition="0">
        <references count="3">
          <reference field="4294967294" count="1" selected="0">
            <x v="2"/>
          </reference>
          <reference field="6" count="1" selected="0">
            <x v="6"/>
          </reference>
          <reference field="7" count="1" selected="0">
            <x v="20"/>
          </reference>
        </references>
      </pivotArea>
    </format>
    <format dxfId="101">
      <pivotArea outline="0" fieldPosition="0">
        <references count="3">
          <reference field="4294967294" count="1" selected="0">
            <x v="2"/>
          </reference>
          <reference field="6" count="1" selected="0">
            <x v="6"/>
          </reference>
          <reference field="7" count="1" selected="0">
            <x v="2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29E29-2986-4829-BEE1-7375F83A17C1}" name="PivotTable9" cacheId="3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9" firstHeaderRow="1" firstDataRow="1" firstDataCol="1"/>
  <pivotFields count="12">
    <pivotField showAll="0"/>
    <pivotField showAll="0"/>
    <pivotField showAll="0"/>
    <pivotField showAll="0"/>
    <pivotField showAll="0"/>
    <pivotField showAll="0"/>
    <pivotField axis="axisRow" showAll="0">
      <items count="41">
        <item x="0"/>
        <item h="1" m="1" x="35"/>
        <item x="7"/>
        <item h="1" m="1" x="34"/>
        <item h="1" m="1" x="37"/>
        <item m="1" x="38"/>
        <item m="1" x="36"/>
        <item m="1" x="30"/>
        <item m="1" x="33"/>
        <item x="6"/>
        <item h="1" m="1" x="39"/>
        <item m="1" x="29"/>
        <item x="11"/>
        <item x="3"/>
        <item m="1" x="24"/>
        <item m="1" x="27"/>
        <item h="1" x="20"/>
        <item h="1" x="21"/>
        <item h="1" m="1" x="31"/>
        <item h="1" m="1" x="32"/>
        <item h="1" x="22"/>
        <item h="1" x="1"/>
        <item h="1" x="2"/>
        <item h="1" x="4"/>
        <item h="1" x="8"/>
        <item h="1" x="9"/>
        <item h="1" x="10"/>
        <item h="1" x="12"/>
        <item h="1" x="14"/>
        <item h="1" x="15"/>
        <item h="1" x="18"/>
        <item h="1" x="19"/>
        <item h="1" x="23"/>
        <item h="1" x="16"/>
        <item h="1" m="1" x="28"/>
        <item h="1" x="17"/>
        <item h="1" m="1" x="25"/>
        <item h="1" m="1" x="26"/>
        <item h="1" x="5"/>
        <item h="1" x="13"/>
        <item t="default"/>
      </items>
    </pivotField>
    <pivotField showAll="0"/>
    <pivotField showAll="0"/>
    <pivotField showAll="0"/>
    <pivotField showAll="0"/>
    <pivotField showAll="0"/>
  </pivotFields>
  <rowFields count="1">
    <field x="6"/>
  </rowFields>
  <rowItems count="6">
    <i>
      <x/>
    </i>
    <i>
      <x v="2"/>
    </i>
    <i>
      <x v="9"/>
    </i>
    <i>
      <x v="12"/>
    </i>
    <i>
      <x v="1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44" displayName="Table44" ref="A4:U154" totalsRowShown="0" headerRowDxfId="100" dataDxfId="99" headerRowCellStyle="Percent">
  <autoFilter ref="A4:U154" xr:uid="{00000000-0009-0000-0100-000003000000}">
    <filterColumn colId="0">
      <filters>
        <filter val="Springfield-Oregon"/>
      </filters>
    </filterColumn>
  </autoFilter>
  <tableColumns count="21">
    <tableColumn id="5" xr3:uid="{00000000-0010-0000-0000-000005000000}" name="Location" dataDxfId="98" totalsRowDxfId="97"/>
    <tableColumn id="1" xr3:uid="{00000000-0010-0000-0000-000001000000}" name="Debit Memo Location" dataDxfId="96" totalsRowDxfId="95"/>
    <tableColumn id="2" xr3:uid="{00000000-0010-0000-0000-000002000000}" name="Franchisee" dataDxfId="94" totalsRowDxfId="93"/>
    <tableColumn id="14" xr3:uid="{00000000-0010-0000-0000-00000E000000}" name="Principal Name" dataDxfId="92" totalsRowDxfId="91"/>
    <tableColumn id="3" xr3:uid="{00000000-0010-0000-0000-000003000000}" name="Founders/Non-Founders" dataDxfId="90" totalsRowDxfId="89"/>
    <tableColumn id="4" xr3:uid="{00000000-0010-0000-0000-000004000000}" name="Open Date" dataDxfId="88" totalsRowDxfId="87"/>
    <tableColumn id="6" xr3:uid="{00000000-0010-0000-0000-000006000000}" name="Marketing/Royalty Fee Start" dataDxfId="86" totalsRowDxfId="85"/>
    <tableColumn id="16" xr3:uid="{00000000-0010-0000-0000-000010000000}" name="Marketing &amp; Royalty Fee End" dataDxfId="84" totalsRowDxfId="83"/>
    <tableColumn id="7" xr3:uid="{00000000-0010-0000-0000-000007000000}" name="2.5%" dataDxfId="82" totalsRowDxfId="81"/>
    <tableColumn id="12" xr3:uid="{00000000-0010-0000-0000-00000C000000}" name="Start Period" dataDxfId="80" totalsRowDxfId="79"/>
    <tableColumn id="13" xr3:uid="{00000000-0010-0000-0000-00000D000000}" name="End Period - 2%" dataDxfId="78" totalsRowDxfId="77"/>
    <tableColumn id="8" xr3:uid="{00000000-0010-0000-0000-000008000000}" name="2%" dataDxfId="76" totalsRowDxfId="75"/>
    <tableColumn id="15" xr3:uid="{00000000-0010-0000-0000-00000F000000}" name="End Period - 3%" dataDxfId="74" totalsRowDxfId="73"/>
    <tableColumn id="9" xr3:uid="{00000000-0010-0000-0000-000009000000}" name="3%" dataDxfId="72" totalsRowDxfId="71"/>
    <tableColumn id="17" xr3:uid="{00000000-0010-0000-0000-000011000000}" name="End Period - 4%" dataDxfId="70" totalsRowDxfId="69"/>
    <tableColumn id="10" xr3:uid="{00000000-0010-0000-0000-00000A000000}" name="4%" dataDxfId="68" totalsRowDxfId="67"/>
    <tableColumn id="19" xr3:uid="{00000000-0010-0000-0000-000013000000}" name="End Period - 5%" dataDxfId="66" totalsRowDxfId="65"/>
    <tableColumn id="11" xr3:uid="{00000000-0010-0000-0000-00000B000000}" name="5%" dataDxfId="64" totalsRowDxfId="63"/>
    <tableColumn id="21" xr3:uid="{A81975ED-3084-4EAF-9744-50C212FB9DBE}" name="End Period - 6%" dataDxfId="62" totalsRowDxfId="61"/>
    <tableColumn id="22" xr3:uid="{65E5FB73-5662-492E-B442-F27D5881F8F1}" name="6%" dataDxfId="60" totalsRowDxfId="59"/>
    <tableColumn id="18" xr3:uid="{7E746146-2548-4966-8EAA-78E4EFC5DC35}" name="Column1" dataDxfId="58" totalsRowDxfId="5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530845-890C-44C1-98DE-CC6DB59A0D1F}" name="Table1" displayName="Table1" ref="A1:E61" totalsRowCount="1" headerRowDxfId="56" headerRowBorderDxfId="55" tableBorderDxfId="54" totalsRowBorderDxfId="53" headerRowCellStyle="Comma">
  <autoFilter ref="A1:E60" xr:uid="{92201E7A-17F6-442E-80FC-B43E5E0A6F57}"/>
  <tableColumns count="5">
    <tableColumn id="1" xr3:uid="{A7D5B192-B1BC-43DF-AA27-7F6C599F056F}" name="Date" totalsRowLabel="Total" dataDxfId="52" totalsRowDxfId="51"/>
    <tableColumn id="2" xr3:uid="{B21B3E6C-51E3-4D2B-9BBB-F085FBB788E8}" name="Sum of MOD #" dataDxfId="50" totalsRowDxfId="49"/>
    <tableColumn id="3" xr3:uid="{6274E154-44BE-4669-ADA1-A10569314753}" name="Store" dataDxfId="48" totalsRowDxfId="47"/>
    <tableColumn id="4" xr3:uid="{073C4CAC-74B3-48BC-B959-A350CB843CA8}" name="Gross Sales" totalsRowFunction="sum" dataDxfId="46" totalsRowDxfId="45" dataCellStyle="Comma"/>
    <tableColumn id="5" xr3:uid="{3E71A186-1371-46CB-8B56-7516C2D71896}" name="Net Sales" totalsRowFunction="sum" dataDxfId="44" totalsRowDxfId="43"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Table11" displayName="Table11" ref="B4:M590" totalsRowShown="0" headerRowDxfId="42" headerRowCellStyle="Comma">
  <autoFilter ref="B4:M590" xr:uid="{00000000-0009-0000-0100-00000B000000}"/>
  <sortState xmlns:xlrd2="http://schemas.microsoft.com/office/spreadsheetml/2017/richdata2" ref="B5:M559">
    <sortCondition ref="B4:B559"/>
  </sortState>
  <tableColumns count="12">
    <tableColumn id="1" xr3:uid="{00000000-0010-0000-0100-000001000000}" name="Date" dataDxfId="41"/>
    <tableColumn id="2" xr3:uid="{00000000-0010-0000-0100-000002000000}" name="Sum of MOD #" dataDxfId="40"/>
    <tableColumn id="3" xr3:uid="{00000000-0010-0000-0100-000003000000}" name="Store" dataDxfId="39"/>
    <tableColumn id="4" xr3:uid="{00000000-0010-0000-0100-000004000000}" name="Column1" dataDxfId="38" dataCellStyle="Comma"/>
    <tableColumn id="5" xr3:uid="{00000000-0010-0000-0100-000005000000}" name="Column2" dataDxfId="37" dataCellStyle="Comma"/>
    <tableColumn id="11" xr3:uid="{00000000-0010-0000-0100-00000B000000}" name="Location" dataDxfId="36" dataCellStyle="Comma">
      <calculatedColumnFormula>VLOOKUP(Table11[[#This Row],[Store]],'Rates from Tracker'!A:B,2,0)</calculatedColumnFormula>
    </tableColumn>
    <tableColumn id="6" xr3:uid="{00000000-0010-0000-0100-000006000000}" name="Franchisee" dataDxfId="35">
      <calculatedColumnFormula>VLOOKUP(D5,'Rates from Tracker'!A:C,3,0)</calculatedColumnFormula>
    </tableColumn>
    <tableColumn id="12" xr3:uid="{19DE6770-92B9-4777-8300-56B118FB74B5}" name="Principal Name" dataDxfId="34">
      <calculatedColumnFormula>VLOOKUP(Table11[[#This Row],[Franchisee]],'Rates from Tracker'!C:D,2,0)</calculatedColumnFormula>
    </tableColumn>
    <tableColumn id="7" xr3:uid="{00000000-0010-0000-0100-000007000000}" name="Marketing Fee" dataDxfId="33" dataCellStyle="Comma">
      <calculatedColumnFormula>ROUND(IF(Table11[[#This Row],[Location]]="Belmont Market",Table11[[#This Row],[Column2]]*0.01,IF(Table11[[#This Row],[Location]]="Country Club Centre",Table11[[#This Row],[Column2]]*0.01,IF(Table11[[#This Row],[Location]]="Naval Air Station Norfolk",Table11[[#This Row],[Column2]]*0.005,F5*0.02))),2)</calculatedColumnFormula>
    </tableColumn>
    <tableColumn id="8" xr3:uid="{00000000-0010-0000-0100-000008000000}" name="Royalty Rate" dataDxfId="32" dataCellStyle="Percent">
      <calculatedColumnFormula>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calculatedColumnFormula>
    </tableColumn>
    <tableColumn id="9" xr3:uid="{00000000-0010-0000-0100-000009000000}" name="Royalty Fee" dataDxfId="31">
      <calculatedColumnFormula>ROUND(F5*K5,2)</calculatedColumnFormula>
    </tableColumn>
    <tableColumn id="10" xr3:uid="{00000000-0010-0000-0100-00000A000000}" name="Total" dataDxfId="30" dataCellStyle="Comma">
      <calculatedColumnFormula>J5+L5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able8" displayName="Table8" ref="A4:I120" totalsRowCount="1">
  <autoFilter ref="A4:I119" xr:uid="{00000000-0009-0000-0100-000008000000}">
    <filterColumn colId="0">
      <filters>
        <filter val="V.I. Pizza Country Club"/>
      </filters>
    </filterColumn>
    <filterColumn colId="3">
      <filters>
        <filter val="1% of $10,540.42 Pocatello"/>
        <filter val="1% of $11,456.24 Decatur"/>
        <filter val="1% of $11,718.78 Mobile"/>
        <filter val="1% of $11,892.77 Madison"/>
        <filter val="1% of $12,123.27 Ammon"/>
        <filter val="1% of $13,142.32 Roseburg"/>
        <filter val="1% of $13,690.08 Boise Town Square"/>
        <filter val="1% of $14,086.38 Springfield-Oregon"/>
        <filter val="1% of $14,335.70 Downtown Boise"/>
        <filter val="1% of $14,889.39 South Eugene"/>
        <filter val="1% of $14,897.77 Riverton"/>
        <filter val="1% of $14,919.34 Layton"/>
        <filter val="1% of $15,351.88 Sugar House"/>
        <filter val="1% of $15,882.03 South Jordan"/>
        <filter val="1% of $16,461.14 American Fork"/>
        <filter val="1% of $16,468.52 Riverdale"/>
        <filter val="1% of $17,354.98 Fort Union"/>
        <filter val="1% of $17,618.08 Spanish Fork"/>
        <filter val="1% of $19,281.73 Woods Cross"/>
        <filter val="1% of $19,452.38 Grants Pass"/>
        <filter val="1% of $19,931.53 South Medford"/>
        <filter val="1% of $20,567.73 Bend"/>
        <filter val="1% of $20,598.66 Park City"/>
        <filter val="1% of $20,754.42 Saratoga Springs"/>
        <filter val="1% of $22,814.38 North Medford"/>
        <filter val="1% of $23,088.13 Oakway"/>
        <filter val="1% of $26,624.02 Bend North"/>
        <filter val="1% of $9,150.85 Country Club Centre"/>
        <filter val="2% of $18,647.95 Belmont Market"/>
        <filter val="2% of $19,251.02 Creekwalk"/>
        <filter val="2% of $8,731.76 Naval Air Station Norfolk"/>
        <filter val="5% of $11,717.50 Auburn Village"/>
        <filter val="5% of $12,778.75 Evansville #11"/>
        <filter val="5% of $13,034.60 North Charleston"/>
        <filter val="5% of $13,936.25 Georgetown"/>
        <filter val="5% of $14,576.59 Rancho Cordova"/>
        <filter val="5% of $15,383.16 Redfield Promenade"/>
        <filter val="5% of $15,391.73 Westwood Plaza"/>
        <filter val="5% of $16,240.00 West Sacramento"/>
        <filter val="5% of $16,819.99 Augusta Exchange"/>
        <filter val="5% of $16,900.94 Grand Junction"/>
        <filter val="5% of $17,204.09 ROCKLIN"/>
        <filter val="5% of $17,232.81 NE Columbia"/>
        <filter val="5% of $17,613.37 Diamond Circle"/>
        <filter val="5% of $18,368.47 Falcon Landing"/>
        <filter val="5% of $18,771.04 Lowry"/>
        <filter val="5% of $18,808.62 Lexington"/>
        <filter val="5% of $19,087.62 Woodhill"/>
        <filter val="5% of $19,567.78 Woodland"/>
        <filter val="5% of $20,332.34 Eureka"/>
        <filter val="5% of $20,666.22 Kennesaw"/>
        <filter val="5% of $20,937.55 Greeley"/>
        <filter val="5% of $21,524.58 Hamburg #6"/>
        <filter val="5% of $21,987.26 McCaslin Marketplace"/>
        <filter val="5% of $22,123.04 Campus Oaks"/>
        <filter val="5% of $22,197.05 LIVONIA"/>
        <filter val="5% of $22,274.18 Park Meadows"/>
        <filter val="5% of $23,104.49 Brighton"/>
        <filter val="5% of $23,346.32 Northfield Commons"/>
        <filter val="5% of $23,939.38 Ralston Creek"/>
        <filter val="5% of $23,962.69 Centre Avenue"/>
        <filter val="5% of $25,186.63 S Academy Highlands"/>
        <filter val="5% of $25,585.68 REDDING"/>
        <filter val="5% of $25,858.55 Sheridan Parkway"/>
        <filter val="5% of $25,878.09 Churn Creek"/>
        <filter val="5% of $26,141.91 Crown Point"/>
        <filter val="5% of $27,573.77 Forest Trace"/>
        <filter val="5% of $28,080.60 Tower"/>
        <filter val="5% of $28,496.67 Chico"/>
        <filter val="5% of $28,567.53 Castle Rock"/>
        <filter val="5% of $28,660.17 Howe Bout Arden"/>
        <filter val="5% of $29,461.80 Highlands Ranch"/>
        <filter val="5% of $29,466.18 Johnstown"/>
        <filter val="5% of $29,553.11 Polaris Pointe"/>
        <filter val="5% of $32,324.13 Westminster Promenade"/>
        <filter val="5% of $37,553.28 Dublin Commons"/>
      </filters>
    </filterColumn>
    <filterColumn colId="8">
      <filters blank="1"/>
    </filterColumn>
  </autoFilter>
  <tableColumns count="9">
    <tableColumn id="1" xr3:uid="{00000000-0010-0000-0200-000001000000}" name="Franchisee" totalsRowLabel="Total">
      <calculatedColumnFormula>VLOOKUP(B5,'Rates from Tracker'!B:C,2,0)</calculatedColumnFormula>
    </tableColumn>
    <tableColumn id="2" xr3:uid="{00000000-0010-0000-0200-000002000000}" name="Location" totalsRowFunction="custom">
      <totalsRowFormula>SUBTOTAL(3,B5:B119)</totalsRowFormula>
    </tableColumn>
    <tableColumn id="3" xr3:uid="{00000000-0010-0000-0200-000003000000}" name="CONTINUINGFEE - Net Value" totalsRowFunction="sum" dataDxfId="29" totalsRowDxfId="13">
      <calculatedColumnFormula>SUMIF(Calculations!G:G,B5,Calculations!L:L)</calculatedColumnFormula>
    </tableColumn>
    <tableColumn id="4" xr3:uid="{00000000-0010-0000-0200-000004000000}" name="CONTINUINGFEE - Item Description" dataDxfId="28">
      <calculatedColumnFormula>IF(Table8[[#This Row],[Rate Increase?]]="Yes","",(VLOOKUP(B5,Calculations!G:K,5,0)*100)&amp;"% of "&amp;DOLLAR(SUMIF(Calculations!G:G,B5,Calculations!F:F),2)&amp;" "&amp;B5)</calculatedColumnFormula>
    </tableColumn>
    <tableColumn id="5" xr3:uid="{00000000-0010-0000-0200-000005000000}" name="MARKETINGFEE - Net Value" totalsRowFunction="sum" dataDxfId="27" totalsRowDxfId="12">
      <calculatedColumnFormula>SUMIF(Calculations!G:G,B5,Calculations!J:J)</calculatedColumnFormula>
    </tableColumn>
    <tableColumn id="6" xr3:uid="{00000000-0010-0000-0200-000006000000}" name="MARKETINGFEE - Item Description" dataDxfId="26">
      <calculatedColumnFormula>IF(Table8[[#This Row],[Location]]="Belmont Market",1,IF(Table8[[#This Row],[Location]]="Country Club Centre",1,IF(Table8[[#This Row],[Location]]="Naval Air Station Norfolk",0.5,2)))&amp;"% of "&amp;DOLLAR(SUMIF(Calculations!G:G,B5,Calculations!F:F),2)&amp;" "&amp;B5</calculatedColumnFormula>
    </tableColumn>
    <tableColumn id="7" xr3:uid="{00000000-0010-0000-0200-000007000000}" name="Rate Increase?" dataDxfId="25">
      <calculatedColumnFormula>IF((SUMIF(Calculations!$G:$G,Table8[[#This Row],[Location]],Calculations!$K:$K)/COUNTIF(Calculations!$G:$G,Table8[[#This Row],[Location]]))&lt;&gt;VLOOKUP(Table8[[#This Row],[Location]],Calculations!G:M,5,0),"Yes","")</calculatedColumnFormula>
    </tableColumn>
    <tableColumn id="8" xr3:uid="{00000000-0010-0000-0200-000008000000}" name="Total" totalsRowFunction="sum" dataDxfId="24" totalsRowDxfId="11">
      <calculatedColumnFormula>Table8[[#This Row],[CONTINUINGFEE - Net Value]]+Table8[[#This Row],[MARKETINGFEE - Net Value]]</calculatedColumnFormula>
    </tableColumn>
    <tableColumn id="9" xr3:uid="{8684BA7E-A31A-4FD1-810F-6BF60FFD30A9}" name="Comments" dataDxfId="23" totalsRow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5" displayName="Table15" ref="A6:K16" totalsRowShown="0" headerRowDxfId="21">
  <autoFilter ref="A6:K16" xr:uid="{00000000-0009-0000-0100-000004000000}"/>
  <sortState xmlns:xlrd2="http://schemas.microsoft.com/office/spreadsheetml/2017/richdata2" ref="A7:K16">
    <sortCondition ref="B6:B16"/>
  </sortState>
  <tableColumns count="11">
    <tableColumn id="1" xr3:uid="{00000000-0010-0000-0300-000001000000}" name="Partner Group"/>
    <tableColumn id="12" xr3:uid="{00000000-0010-0000-0300-00000C000000}" name="Founders/Non-Founders"/>
    <tableColumn id="13" xr3:uid="{00000000-0010-0000-0300-00000D000000}" name="Principal Name" dataDxfId="20"/>
    <tableColumn id="14" xr3:uid="{00000000-0010-0000-0300-00000E000000}" name="Region"/>
    <tableColumn id="2" xr3:uid="{00000000-0010-0000-0300-000002000000}" name="Stores Committed" dataDxfId="19"/>
    <tableColumn id="3" xr3:uid="{00000000-0010-0000-0300-000003000000}" name="Stores Open" dataDxfId="18">
      <calculatedColumnFormula>COUNTIF(#REF!,#REF!)</calculatedColumnFormula>
    </tableColumn>
    <tableColumn id="10" xr3:uid="{00000000-0010-0000-0300-00000A000000}" name="Principal Contact 1"/>
    <tableColumn id="11" xr3:uid="{00000000-0010-0000-0300-00000B000000}" name="Principal Contact 2"/>
    <tableColumn id="7" xr3:uid="{00000000-0010-0000-0300-000007000000}" name="Billing Contact 1"/>
    <tableColumn id="8" xr3:uid="{00000000-0010-0000-0300-000008000000}" name="Billing Contact 2"/>
    <tableColumn id="9" xr3:uid="{00000000-0010-0000-0300-000009000000}" name="Billing Contact 3"/>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20:F209" totalsRowShown="0">
  <autoFilter ref="A20:F209" xr:uid="{00000000-0009-0000-0100-000005000000}"/>
  <sortState xmlns:xlrd2="http://schemas.microsoft.com/office/spreadsheetml/2017/richdata2" ref="A21:F208">
    <sortCondition ref="A20:A209"/>
  </sortState>
  <tableColumns count="6">
    <tableColumn id="1" xr3:uid="{00000000-0010-0000-0400-000001000000}" name="Store">
      <calculatedColumnFormula>#REF!</calculatedColumnFormula>
    </tableColumn>
    <tableColumn id="2" xr3:uid="{00000000-0010-0000-0400-000002000000}" name="Partner Group" dataDxfId="17">
      <calculatedColumnFormula>VLOOKUP(A21,#REF!,2,0)</calculatedColumnFormula>
    </tableColumn>
    <tableColumn id="3" xr3:uid="{00000000-0010-0000-0400-000003000000}" name="Open Date" dataDxfId="16">
      <calculatedColumnFormula>VLOOKUP(A21,#REF!,3,0)</calculatedColumnFormula>
    </tableColumn>
    <tableColumn id="4" xr3:uid="{00000000-0010-0000-0400-000004000000}" name="Fee Type">
      <calculatedColumnFormula>#REF!</calculatedColumnFormula>
    </tableColumn>
    <tableColumn id="5" xr3:uid="{00000000-0010-0000-0400-000005000000}" name="Royalty %" dataDxfId="15">
      <calculatedColumnFormula>#REF!/100</calculatedColumnFormula>
    </tableColumn>
    <tableColumn id="6" xr3:uid="{00000000-0010-0000-0400-000006000000}" name="Royalty Start Date" dataDxfId="14">
      <calculatedColumnFormula>#REF!</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108" dT="2019-10-16T17:52:29.04" personId="{FD5AD3B5-BBD1-4745-9869-A59EB9350789}" id="{D5AEE69C-3429-4DD6-BF95-02708E78E556}">
    <text>Flat 5% rate</text>
  </threadedComment>
  <threadedComment ref="S116" dT="2020-11-30T23:02:13.47" personId="{FD5AD3B5-BBD1-4745-9869-A59EB9350789}" id="{9E8E1926-5179-470E-9E15-AD2644721829}">
    <text>Flat 5%</text>
  </threadedComment>
</ThreadedComments>
</file>

<file path=xl/threadedComments/threadedComment2.xml><?xml version="1.0" encoding="utf-8"?>
<ThreadedComments xmlns="http://schemas.microsoft.com/office/spreadsheetml/2018/threadedcomments" xmlns:x="http://schemas.openxmlformats.org/spreadsheetml/2006/main">
  <threadedComment ref="P4" dT="2020-02-12T04:16:30.85" personId="{FD5AD3B5-BBD1-4745-9869-A59EB9350789}" id="{69287BF8-3BB4-4A2D-9C7E-5ABF1AB651E5}">
    <text>Northwestern &amp; DTW billed monthly, separate from these weekly billings. Store count less two is actual count.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8" Type="http://schemas.openxmlformats.org/officeDocument/2006/relationships/hyperlink" Target="mailto:mmcguire@sd-holdings.com" TargetMode="External"/><Relationship Id="rId13" Type="http://schemas.openxmlformats.org/officeDocument/2006/relationships/hyperlink" Target="mailto:kdavidson@teamschostak.com" TargetMode="External"/><Relationship Id="rId18" Type="http://schemas.openxmlformats.org/officeDocument/2006/relationships/hyperlink" Target="mailto:rconnolly11@aol.com" TargetMode="External"/><Relationship Id="rId26" Type="http://schemas.openxmlformats.org/officeDocument/2006/relationships/hyperlink" Target="mailto:swomack@womackrestaurants.com" TargetMode="External"/><Relationship Id="rId3" Type="http://schemas.openxmlformats.org/officeDocument/2006/relationships/hyperlink" Target="mailto:craig@cooldough.com" TargetMode="External"/><Relationship Id="rId21" Type="http://schemas.openxmlformats.org/officeDocument/2006/relationships/hyperlink" Target="mailto:kembree@emhllc.com" TargetMode="External"/><Relationship Id="rId7" Type="http://schemas.openxmlformats.org/officeDocument/2006/relationships/hyperlink" Target="mailto:MMcKinnie@sd-holdings.com" TargetMode="External"/><Relationship Id="rId12" Type="http://schemas.openxmlformats.org/officeDocument/2006/relationships/hyperlink" Target="mailto:jkellstrom@teamschostak.com" TargetMode="External"/><Relationship Id="rId17" Type="http://schemas.openxmlformats.org/officeDocument/2006/relationships/hyperlink" Target="mailto:jlevan@bbxcapital.com" TargetMode="External"/><Relationship Id="rId25" Type="http://schemas.openxmlformats.org/officeDocument/2006/relationships/hyperlink" Target="mailto:Mschostak@schostak.com" TargetMode="External"/><Relationship Id="rId2" Type="http://schemas.openxmlformats.org/officeDocument/2006/relationships/hyperlink" Target="mailto:kembree@emhllc.com" TargetMode="External"/><Relationship Id="rId16" Type="http://schemas.openxmlformats.org/officeDocument/2006/relationships/hyperlink" Target="mailto:jlevan@bbxcapital.com" TargetMode="External"/><Relationship Id="rId20" Type="http://schemas.openxmlformats.org/officeDocument/2006/relationships/hyperlink" Target="mailto:bmerullo@emhllc.com" TargetMode="External"/><Relationship Id="rId29" Type="http://schemas.openxmlformats.org/officeDocument/2006/relationships/drawing" Target="../drawings/drawing3.xml"/><Relationship Id="rId1" Type="http://schemas.openxmlformats.org/officeDocument/2006/relationships/hyperlink" Target="mailto:aakehurst@emhllc.com" TargetMode="External"/><Relationship Id="rId6" Type="http://schemas.openxmlformats.org/officeDocument/2006/relationships/hyperlink" Target="mailto:rconnolly11@aol.com" TargetMode="External"/><Relationship Id="rId11" Type="http://schemas.openxmlformats.org/officeDocument/2006/relationships/hyperlink" Target="mailto:cbarnes@teamschostak.com" TargetMode="External"/><Relationship Id="rId24" Type="http://schemas.openxmlformats.org/officeDocument/2006/relationships/hyperlink" Target="mailto:trevor@sandersunltd.com" TargetMode="External"/><Relationship Id="rId5" Type="http://schemas.openxmlformats.org/officeDocument/2006/relationships/hyperlink" Target="mailto:aadams@womackrestaurants.com" TargetMode="External"/><Relationship Id="rId15" Type="http://schemas.openxmlformats.org/officeDocument/2006/relationships/hyperlink" Target="mailto:jlevan@bbxcapital.com" TargetMode="External"/><Relationship Id="rId23" Type="http://schemas.openxmlformats.org/officeDocument/2006/relationships/hyperlink" Target="mailto:jeremy@sandersunltd.com" TargetMode="External"/><Relationship Id="rId28" Type="http://schemas.openxmlformats.org/officeDocument/2006/relationships/hyperlink" Target="mailto:MMcKinnie@sd-holdings.com" TargetMode="External"/><Relationship Id="rId10" Type="http://schemas.openxmlformats.org/officeDocument/2006/relationships/hyperlink" Target="mailto:Jeremy@sandersunltd.com" TargetMode="External"/><Relationship Id="rId19" Type="http://schemas.openxmlformats.org/officeDocument/2006/relationships/hyperlink" Target="mailto:kimberly@3hsoperations.com" TargetMode="External"/><Relationship Id="rId31" Type="http://schemas.openxmlformats.org/officeDocument/2006/relationships/table" Target="../tables/table6.xml"/><Relationship Id="rId4" Type="http://schemas.openxmlformats.org/officeDocument/2006/relationships/hyperlink" Target="mailto:ahicks@CRMCO.com" TargetMode="External"/><Relationship Id="rId9" Type="http://schemas.openxmlformats.org/officeDocument/2006/relationships/hyperlink" Target="mailto:angela@sandersunltd.com" TargetMode="External"/><Relationship Id="rId14" Type="http://schemas.openxmlformats.org/officeDocument/2006/relationships/hyperlink" Target="mailto:jlevan@bbxcapital.com" TargetMode="External"/><Relationship Id="rId22" Type="http://schemas.openxmlformats.org/officeDocument/2006/relationships/hyperlink" Target="mailto:gdenning@CRMCO.com" TargetMode="External"/><Relationship Id="rId27" Type="http://schemas.openxmlformats.org/officeDocument/2006/relationships/hyperlink" Target="mailto:YGoldman@sd-holdings.com" TargetMode="External"/><Relationship Id="rId30"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598E9-F551-4337-BACE-B2E877DB2249}">
  <sheetPr codeName="Sheet1">
    <tabColor rgb="FFFFC000"/>
  </sheetPr>
  <dimension ref="B1:H265"/>
  <sheetViews>
    <sheetView topLeftCell="A31" workbookViewId="0">
      <selection activeCell="H43" sqref="H43"/>
    </sheetView>
  </sheetViews>
  <sheetFormatPr defaultRowHeight="15" x14ac:dyDescent="0.25"/>
  <cols>
    <col min="2" max="2" width="27.85546875" customWidth="1"/>
    <col min="3" max="3" width="21.85546875" customWidth="1"/>
  </cols>
  <sheetData>
    <row r="1" spans="2:4" x14ac:dyDescent="0.25">
      <c r="B1" s="95" t="s">
        <v>400</v>
      </c>
    </row>
    <row r="2" spans="2:4" x14ac:dyDescent="0.25">
      <c r="B2" t="s">
        <v>398</v>
      </c>
    </row>
    <row r="3" spans="2:4" x14ac:dyDescent="0.25">
      <c r="B3" t="s">
        <v>496</v>
      </c>
    </row>
    <row r="6" spans="2:4" x14ac:dyDescent="0.25">
      <c r="B6" s="95" t="s">
        <v>399</v>
      </c>
    </row>
    <row r="7" spans="2:4" x14ac:dyDescent="0.25">
      <c r="B7" t="s">
        <v>396</v>
      </c>
      <c r="C7" t="s">
        <v>397</v>
      </c>
    </row>
    <row r="8" spans="2:4" x14ac:dyDescent="0.25">
      <c r="D8" s="96" t="s">
        <v>482</v>
      </c>
    </row>
    <row r="9" spans="2:4" x14ac:dyDescent="0.25">
      <c r="B9" t="s">
        <v>130</v>
      </c>
      <c r="C9" t="s">
        <v>435</v>
      </c>
    </row>
    <row r="10" spans="2:4" x14ac:dyDescent="0.25">
      <c r="C10" t="s">
        <v>497</v>
      </c>
    </row>
    <row r="11" spans="2:4" x14ac:dyDescent="0.25">
      <c r="D11" s="96" t="s">
        <v>498</v>
      </c>
    </row>
    <row r="12" spans="2:4" x14ac:dyDescent="0.25">
      <c r="D12" s="96" t="s">
        <v>419</v>
      </c>
    </row>
    <row r="13" spans="2:4" x14ac:dyDescent="0.25">
      <c r="D13" s="96" t="s">
        <v>421</v>
      </c>
    </row>
    <row r="14" spans="2:4" x14ac:dyDescent="0.25">
      <c r="C14" t="s">
        <v>436</v>
      </c>
      <c r="D14" s="96"/>
    </row>
    <row r="15" spans="2:4" x14ac:dyDescent="0.25">
      <c r="C15" t="s">
        <v>401</v>
      </c>
    </row>
    <row r="16" spans="2:4" x14ac:dyDescent="0.25">
      <c r="C16" t="s">
        <v>402</v>
      </c>
    </row>
    <row r="17" spans="2:4" x14ac:dyDescent="0.25">
      <c r="D17" t="s">
        <v>437</v>
      </c>
    </row>
    <row r="19" spans="2:4" x14ac:dyDescent="0.25">
      <c r="B19" t="s">
        <v>403</v>
      </c>
      <c r="C19" t="s">
        <v>406</v>
      </c>
    </row>
    <row r="20" spans="2:4" x14ac:dyDescent="0.25">
      <c r="C20" t="s">
        <v>499</v>
      </c>
    </row>
    <row r="21" spans="2:4" x14ac:dyDescent="0.25">
      <c r="C21" t="s">
        <v>500</v>
      </c>
    </row>
    <row r="23" spans="2:4" x14ac:dyDescent="0.25">
      <c r="B23" t="s">
        <v>404</v>
      </c>
      <c r="C23" t="s">
        <v>451</v>
      </c>
    </row>
    <row r="24" spans="2:4" x14ac:dyDescent="0.25">
      <c r="C24" t="s">
        <v>405</v>
      </c>
    </row>
    <row r="28" spans="2:4" x14ac:dyDescent="0.25">
      <c r="B28" s="95" t="s">
        <v>395</v>
      </c>
    </row>
    <row r="29" spans="2:4" x14ac:dyDescent="0.25">
      <c r="B29" t="s">
        <v>360</v>
      </c>
    </row>
    <row r="31" spans="2:4" x14ac:dyDescent="0.25">
      <c r="B31" t="s">
        <v>361</v>
      </c>
    </row>
    <row r="32" spans="2:4" x14ac:dyDescent="0.25">
      <c r="C32" t="s">
        <v>362</v>
      </c>
    </row>
    <row r="33" spans="3:8" x14ac:dyDescent="0.25">
      <c r="C33" t="s">
        <v>363</v>
      </c>
    </row>
    <row r="43" spans="3:8" x14ac:dyDescent="0.25">
      <c r="H43" t="s">
        <v>600</v>
      </c>
    </row>
    <row r="60" spans="2:2" x14ac:dyDescent="0.25">
      <c r="B60" t="s">
        <v>417</v>
      </c>
    </row>
    <row r="61" spans="2:2" x14ac:dyDescent="0.25">
      <c r="B61" t="s">
        <v>364</v>
      </c>
    </row>
    <row r="62" spans="2:2" x14ac:dyDescent="0.25">
      <c r="B62" t="s">
        <v>365</v>
      </c>
    </row>
    <row r="63" spans="2:2" x14ac:dyDescent="0.25">
      <c r="B63" t="s">
        <v>366</v>
      </c>
    </row>
    <row r="64" spans="2:2" x14ac:dyDescent="0.25">
      <c r="B64" t="s">
        <v>367</v>
      </c>
    </row>
    <row r="92" spans="2:2" x14ac:dyDescent="0.25">
      <c r="B92" t="s">
        <v>368</v>
      </c>
    </row>
    <row r="93" spans="2:2" x14ac:dyDescent="0.25">
      <c r="B93" t="s">
        <v>418</v>
      </c>
    </row>
    <row r="94" spans="2:2" x14ac:dyDescent="0.25">
      <c r="B94" t="s">
        <v>369</v>
      </c>
    </row>
    <row r="96" spans="2:2" x14ac:dyDescent="0.25">
      <c r="B96" t="s">
        <v>370</v>
      </c>
    </row>
    <row r="97" spans="2:2" x14ac:dyDescent="0.25">
      <c r="B97" t="s">
        <v>371</v>
      </c>
    </row>
    <row r="98" spans="2:2" x14ac:dyDescent="0.25">
      <c r="B98" t="s">
        <v>372</v>
      </c>
    </row>
    <row r="130" spans="2:6" x14ac:dyDescent="0.25">
      <c r="B130" t="s">
        <v>440</v>
      </c>
    </row>
    <row r="132" spans="2:6" x14ac:dyDescent="0.25">
      <c r="B132" s="2" t="s">
        <v>438</v>
      </c>
      <c r="C132" s="2" t="s">
        <v>439</v>
      </c>
      <c r="D132" s="2">
        <v>1</v>
      </c>
      <c r="F132" t="s">
        <v>452</v>
      </c>
    </row>
    <row r="133" spans="2:6" x14ac:dyDescent="0.25">
      <c r="B133" s="2" t="s">
        <v>438</v>
      </c>
      <c r="C133" s="2" t="s">
        <v>439</v>
      </c>
      <c r="D133" s="2">
        <v>1</v>
      </c>
    </row>
    <row r="134" spans="2:6" x14ac:dyDescent="0.25">
      <c r="B134" s="2" t="s">
        <v>438</v>
      </c>
      <c r="C134" s="2" t="s">
        <v>439</v>
      </c>
      <c r="D134" s="2">
        <v>1</v>
      </c>
    </row>
    <row r="135" spans="2:6" x14ac:dyDescent="0.25">
      <c r="B135" s="2" t="s">
        <v>438</v>
      </c>
      <c r="C135" s="2" t="s">
        <v>439</v>
      </c>
      <c r="D135" s="2">
        <v>1</v>
      </c>
    </row>
    <row r="136" spans="2:6" x14ac:dyDescent="0.25">
      <c r="B136" s="2" t="s">
        <v>438</v>
      </c>
      <c r="C136" s="2" t="s">
        <v>439</v>
      </c>
      <c r="D136" s="2">
        <v>1</v>
      </c>
    </row>
    <row r="137" spans="2:6" x14ac:dyDescent="0.25">
      <c r="B137" s="2" t="s">
        <v>438</v>
      </c>
      <c r="C137" s="2" t="s">
        <v>439</v>
      </c>
      <c r="D137" s="2">
        <v>1</v>
      </c>
    </row>
    <row r="138" spans="2:6" x14ac:dyDescent="0.25">
      <c r="B138" s="2" t="s">
        <v>438</v>
      </c>
      <c r="C138" s="2" t="s">
        <v>439</v>
      </c>
      <c r="D138" s="2">
        <v>1</v>
      </c>
    </row>
    <row r="139" spans="2:6" x14ac:dyDescent="0.25">
      <c r="B139" s="2" t="s">
        <v>438</v>
      </c>
      <c r="C139" s="2" t="s">
        <v>439</v>
      </c>
      <c r="D139" s="2">
        <v>1</v>
      </c>
    </row>
    <row r="140" spans="2:6" x14ac:dyDescent="0.25">
      <c r="B140" s="2" t="s">
        <v>438</v>
      </c>
      <c r="C140" s="2" t="s">
        <v>439</v>
      </c>
      <c r="D140" s="2">
        <v>1</v>
      </c>
    </row>
    <row r="141" spans="2:6" x14ac:dyDescent="0.25">
      <c r="B141" s="2" t="s">
        <v>438</v>
      </c>
      <c r="C141" s="2" t="s">
        <v>439</v>
      </c>
      <c r="D141" s="2">
        <v>1</v>
      </c>
    </row>
    <row r="142" spans="2:6" x14ac:dyDescent="0.25">
      <c r="B142" s="2" t="s">
        <v>438</v>
      </c>
      <c r="C142" s="2" t="s">
        <v>439</v>
      </c>
      <c r="D142" s="2">
        <v>1</v>
      </c>
    </row>
    <row r="143" spans="2:6" x14ac:dyDescent="0.25">
      <c r="B143" s="2" t="s">
        <v>438</v>
      </c>
      <c r="C143" s="2" t="s">
        <v>439</v>
      </c>
      <c r="D143" s="2">
        <v>1</v>
      </c>
    </row>
    <row r="144" spans="2:6" x14ac:dyDescent="0.25">
      <c r="B144" s="2" t="s">
        <v>438</v>
      </c>
      <c r="C144" s="2" t="s">
        <v>439</v>
      </c>
      <c r="D144" s="2">
        <v>1</v>
      </c>
    </row>
    <row r="145" spans="2:4" x14ac:dyDescent="0.25">
      <c r="B145" s="2" t="s">
        <v>438</v>
      </c>
      <c r="C145" s="2" t="s">
        <v>439</v>
      </c>
      <c r="D145" s="2">
        <v>1</v>
      </c>
    </row>
    <row r="146" spans="2:4" x14ac:dyDescent="0.25">
      <c r="B146" s="2" t="s">
        <v>438</v>
      </c>
      <c r="C146" s="2" t="s">
        <v>439</v>
      </c>
      <c r="D146" s="2">
        <v>1</v>
      </c>
    </row>
    <row r="147" spans="2:4" x14ac:dyDescent="0.25">
      <c r="B147" s="2"/>
      <c r="C147" s="2"/>
      <c r="D147" s="2"/>
    </row>
    <row r="149" spans="2:4" x14ac:dyDescent="0.25">
      <c r="B149" t="s">
        <v>412</v>
      </c>
    </row>
    <row r="150" spans="2:4" x14ac:dyDescent="0.25">
      <c r="B150" t="s">
        <v>413</v>
      </c>
    </row>
    <row r="151" spans="2:4" x14ac:dyDescent="0.25">
      <c r="B151" t="s">
        <v>373</v>
      </c>
    </row>
    <row r="152" spans="2:4" x14ac:dyDescent="0.25">
      <c r="B152" t="s">
        <v>441</v>
      </c>
    </row>
    <row r="153" spans="2:4" x14ac:dyDescent="0.25">
      <c r="B153" t="s">
        <v>374</v>
      </c>
    </row>
    <row r="179" spans="2:2" x14ac:dyDescent="0.25">
      <c r="B179" t="s">
        <v>375</v>
      </c>
    </row>
    <row r="180" spans="2:2" x14ac:dyDescent="0.25">
      <c r="B180" t="s">
        <v>376</v>
      </c>
    </row>
    <row r="181" spans="2:2" x14ac:dyDescent="0.25">
      <c r="B181" t="s">
        <v>377</v>
      </c>
    </row>
    <row r="183" spans="2:2" x14ac:dyDescent="0.25">
      <c r="B183" t="s">
        <v>378</v>
      </c>
    </row>
    <row r="185" spans="2:2" x14ac:dyDescent="0.25">
      <c r="B185" t="s">
        <v>415</v>
      </c>
    </row>
    <row r="220" spans="2:2" x14ac:dyDescent="0.25">
      <c r="B220" t="s">
        <v>414</v>
      </c>
    </row>
    <row r="228" spans="2:2" x14ac:dyDescent="0.25">
      <c r="B228" t="s">
        <v>442</v>
      </c>
    </row>
    <row r="230" spans="2:2" x14ac:dyDescent="0.25">
      <c r="B230" t="s">
        <v>443</v>
      </c>
    </row>
    <row r="231" spans="2:2" x14ac:dyDescent="0.25">
      <c r="B231" t="s">
        <v>444</v>
      </c>
    </row>
    <row r="232" spans="2:2" x14ac:dyDescent="0.25">
      <c r="B232" t="s">
        <v>445</v>
      </c>
    </row>
    <row r="234" spans="2:2" x14ac:dyDescent="0.25">
      <c r="B234" t="s">
        <v>446</v>
      </c>
    </row>
    <row r="264" spans="2:2" x14ac:dyDescent="0.25">
      <c r="B264" t="s">
        <v>447</v>
      </c>
    </row>
    <row r="265" spans="2:2" x14ac:dyDescent="0.25">
      <c r="B265" t="s">
        <v>448</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39997558519241921"/>
  </sheetPr>
  <dimension ref="A1:Z166"/>
  <sheetViews>
    <sheetView zoomScale="82" zoomScaleNormal="82" workbookViewId="0">
      <pane ySplit="4" topLeftCell="A146" activePane="bottomLeft" state="frozen"/>
      <selection pane="bottomLeft" activeCell="A50" sqref="A50"/>
    </sheetView>
  </sheetViews>
  <sheetFormatPr defaultColWidth="8.85546875" defaultRowHeight="15" x14ac:dyDescent="0.25"/>
  <cols>
    <col min="1" max="1" width="21.42578125" bestFit="1" customWidth="1"/>
    <col min="2" max="2" width="27.42578125" customWidth="1"/>
    <col min="3" max="3" width="31.85546875" customWidth="1"/>
    <col min="4" max="4" width="15.85546875" bestFit="1" customWidth="1"/>
    <col min="5" max="5" width="27.140625" bestFit="1" customWidth="1"/>
    <col min="6" max="6" width="12.85546875" style="7" customWidth="1"/>
    <col min="7" max="7" width="28.85546875" bestFit="1" customWidth="1"/>
    <col min="8" max="8" width="20.140625" style="7" customWidth="1"/>
    <col min="9" max="9" width="11.85546875" style="7" bestFit="1" customWidth="1"/>
    <col min="10" max="10" width="14.42578125" style="7" customWidth="1"/>
    <col min="11" max="11" width="17.140625" style="7" customWidth="1"/>
    <col min="12" max="12" width="11.85546875" style="7" bestFit="1" customWidth="1"/>
    <col min="13" max="13" width="17.140625" customWidth="1"/>
    <col min="14" max="14" width="11.85546875" bestFit="1" customWidth="1"/>
    <col min="15" max="15" width="17.140625" customWidth="1"/>
    <col min="16" max="16" width="11.85546875" bestFit="1" customWidth="1"/>
    <col min="17" max="17" width="17.42578125" customWidth="1"/>
    <col min="18" max="18" width="11.85546875" bestFit="1" customWidth="1"/>
    <col min="19" max="19" width="16.42578125" customWidth="1"/>
    <col min="20" max="20" width="7.85546875" bestFit="1" customWidth="1"/>
    <col min="21" max="21" width="24.85546875" customWidth="1"/>
  </cols>
  <sheetData>
    <row r="1" spans="1:21" x14ac:dyDescent="0.25">
      <c r="F1"/>
      <c r="H1"/>
      <c r="I1"/>
      <c r="J1"/>
      <c r="K1"/>
      <c r="L1"/>
    </row>
    <row r="2" spans="1:21" ht="15.75" thickBot="1" x14ac:dyDescent="0.3"/>
    <row r="3" spans="1:21" ht="15.75" thickBot="1" x14ac:dyDescent="0.3">
      <c r="A3" s="257" t="s">
        <v>141</v>
      </c>
      <c r="B3" s="258"/>
      <c r="C3" s="258"/>
      <c r="D3" s="258"/>
      <c r="E3" s="258"/>
      <c r="F3" s="258"/>
      <c r="G3" s="258"/>
      <c r="H3" s="259"/>
      <c r="I3" s="254" t="s">
        <v>153</v>
      </c>
      <c r="J3" s="255"/>
      <c r="K3" s="255"/>
      <c r="L3" s="255"/>
      <c r="M3" s="255"/>
      <c r="N3" s="255"/>
      <c r="O3" s="255"/>
      <c r="P3" s="255"/>
      <c r="Q3" s="255"/>
      <c r="R3" s="256"/>
      <c r="S3" s="101"/>
      <c r="T3" s="101"/>
    </row>
    <row r="4" spans="1:21" s="145" customFormat="1" x14ac:dyDescent="0.25">
      <c r="A4" t="s">
        <v>142</v>
      </c>
      <c r="B4" t="s">
        <v>259</v>
      </c>
      <c r="C4" t="s">
        <v>119</v>
      </c>
      <c r="D4" t="s">
        <v>48</v>
      </c>
      <c r="E4" t="s">
        <v>47</v>
      </c>
      <c r="F4" s="7" t="s">
        <v>115</v>
      </c>
      <c r="G4" t="s">
        <v>154</v>
      </c>
      <c r="H4" s="7" t="s">
        <v>520</v>
      </c>
      <c r="I4" s="13" t="s">
        <v>143</v>
      </c>
      <c r="J4" s="14" t="s">
        <v>144</v>
      </c>
      <c r="K4" s="14" t="s">
        <v>145</v>
      </c>
      <c r="L4" s="14" t="s">
        <v>146</v>
      </c>
      <c r="M4" s="14" t="s">
        <v>147</v>
      </c>
      <c r="N4" s="14" t="s">
        <v>148</v>
      </c>
      <c r="O4" s="14" t="s">
        <v>149</v>
      </c>
      <c r="P4" s="14" t="s">
        <v>150</v>
      </c>
      <c r="Q4" s="14" t="s">
        <v>151</v>
      </c>
      <c r="R4" s="14" t="s">
        <v>152</v>
      </c>
      <c r="S4" s="14" t="s">
        <v>422</v>
      </c>
      <c r="T4" s="14" t="s">
        <v>423</v>
      </c>
      <c r="U4" s="102" t="s">
        <v>394</v>
      </c>
    </row>
    <row r="5" spans="1:21" s="34" customFormat="1" hidden="1" x14ac:dyDescent="0.25">
      <c r="A5" s="27" t="s">
        <v>3</v>
      </c>
      <c r="B5" s="27" t="s">
        <v>3</v>
      </c>
      <c r="C5" s="27" t="s">
        <v>70</v>
      </c>
      <c r="D5" s="27" t="s">
        <v>71</v>
      </c>
      <c r="E5" s="27" t="s">
        <v>58</v>
      </c>
      <c r="F5" s="28">
        <v>42646</v>
      </c>
      <c r="G5" s="28">
        <v>42647</v>
      </c>
      <c r="H5" s="28">
        <v>46320</v>
      </c>
      <c r="I5" s="28" t="s">
        <v>166</v>
      </c>
      <c r="J5" s="28" t="s">
        <v>167</v>
      </c>
      <c r="K5" s="28" t="s">
        <v>168</v>
      </c>
      <c r="L5" s="28">
        <v>43037</v>
      </c>
      <c r="M5" s="28" t="s">
        <v>169</v>
      </c>
      <c r="N5" s="28">
        <v>43408</v>
      </c>
      <c r="O5" s="27" t="s">
        <v>170</v>
      </c>
      <c r="P5" s="28">
        <v>43772</v>
      </c>
      <c r="Q5" s="28" t="s">
        <v>171</v>
      </c>
      <c r="R5" s="28">
        <v>46320</v>
      </c>
      <c r="S5" s="28" t="s">
        <v>171</v>
      </c>
      <c r="T5" s="28" t="s">
        <v>166</v>
      </c>
      <c r="U5" s="36"/>
    </row>
    <row r="6" spans="1:21" s="34" customFormat="1" hidden="1" x14ac:dyDescent="0.25">
      <c r="A6" s="27" t="s">
        <v>131</v>
      </c>
      <c r="B6" s="27" t="s">
        <v>131</v>
      </c>
      <c r="C6" s="27" t="s">
        <v>546</v>
      </c>
      <c r="D6" s="235" t="s">
        <v>545</v>
      </c>
      <c r="E6" s="48" t="s">
        <v>93</v>
      </c>
      <c r="F6" s="28">
        <v>42891</v>
      </c>
      <c r="G6" s="28">
        <v>42892</v>
      </c>
      <c r="H6" s="28">
        <v>46544</v>
      </c>
      <c r="I6" s="28" t="s">
        <v>166</v>
      </c>
      <c r="J6" s="28" t="s">
        <v>172</v>
      </c>
      <c r="K6" s="28" t="s">
        <v>173</v>
      </c>
      <c r="L6" s="28">
        <v>43268</v>
      </c>
      <c r="M6" s="28" t="s">
        <v>174</v>
      </c>
      <c r="N6" s="28">
        <v>43632</v>
      </c>
      <c r="O6" s="27" t="s">
        <v>175</v>
      </c>
      <c r="P6" s="28">
        <v>43996</v>
      </c>
      <c r="Q6" s="28" t="s">
        <v>176</v>
      </c>
      <c r="R6" s="28">
        <v>46544</v>
      </c>
      <c r="S6" s="28" t="s">
        <v>176</v>
      </c>
      <c r="T6" s="28" t="s">
        <v>166</v>
      </c>
      <c r="U6" s="36"/>
    </row>
    <row r="7" spans="1:21" s="34" customFormat="1" hidden="1" x14ac:dyDescent="0.25">
      <c r="A7" s="27" t="s">
        <v>264</v>
      </c>
      <c r="B7" s="27" t="s">
        <v>264</v>
      </c>
      <c r="C7" s="27" t="s">
        <v>70</v>
      </c>
      <c r="D7" s="27" t="s">
        <v>71</v>
      </c>
      <c r="E7" s="27" t="s">
        <v>93</v>
      </c>
      <c r="F7" s="28">
        <v>42968</v>
      </c>
      <c r="G7" s="28">
        <v>42969</v>
      </c>
      <c r="H7" s="28">
        <v>46628</v>
      </c>
      <c r="I7" s="28">
        <v>43008</v>
      </c>
      <c r="J7" s="28" t="s">
        <v>229</v>
      </c>
      <c r="K7" s="28" t="s">
        <v>166</v>
      </c>
      <c r="L7" s="28" t="s">
        <v>166</v>
      </c>
      <c r="M7" s="28" t="s">
        <v>166</v>
      </c>
      <c r="N7" s="28" t="s">
        <v>166</v>
      </c>
      <c r="O7" s="27" t="s">
        <v>166</v>
      </c>
      <c r="P7" s="28" t="s">
        <v>166</v>
      </c>
      <c r="Q7" s="28" t="s">
        <v>246</v>
      </c>
      <c r="R7" s="28">
        <v>46628</v>
      </c>
      <c r="S7" s="28" t="s">
        <v>246</v>
      </c>
      <c r="T7" s="28" t="s">
        <v>166</v>
      </c>
      <c r="U7" s="36"/>
    </row>
    <row r="8" spans="1:21" s="34" customFormat="1" hidden="1" x14ac:dyDescent="0.25">
      <c r="A8" s="27" t="s">
        <v>4</v>
      </c>
      <c r="B8" s="27" t="s">
        <v>4</v>
      </c>
      <c r="C8" s="27" t="s">
        <v>260</v>
      </c>
      <c r="D8" s="27" t="s">
        <v>106</v>
      </c>
      <c r="E8" s="27" t="s">
        <v>93</v>
      </c>
      <c r="F8" s="28">
        <v>42847</v>
      </c>
      <c r="G8" s="28">
        <v>42848</v>
      </c>
      <c r="H8" s="28">
        <v>46516</v>
      </c>
      <c r="I8" s="28">
        <v>42930</v>
      </c>
      <c r="J8" s="28" t="s">
        <v>177</v>
      </c>
      <c r="K8" s="28" t="s">
        <v>166</v>
      </c>
      <c r="L8" s="28" t="s">
        <v>166</v>
      </c>
      <c r="M8" s="28" t="s">
        <v>166</v>
      </c>
      <c r="N8" s="28" t="s">
        <v>166</v>
      </c>
      <c r="O8" s="27" t="s">
        <v>166</v>
      </c>
      <c r="P8" s="28" t="s">
        <v>166</v>
      </c>
      <c r="Q8" s="28" t="s">
        <v>178</v>
      </c>
      <c r="R8" s="28">
        <v>46516</v>
      </c>
      <c r="S8" s="28" t="s">
        <v>178</v>
      </c>
      <c r="T8" s="28" t="s">
        <v>166</v>
      </c>
      <c r="U8" s="36"/>
    </row>
    <row r="9" spans="1:21" s="34" customFormat="1" hidden="1" x14ac:dyDescent="0.25">
      <c r="A9" s="27" t="s">
        <v>5</v>
      </c>
      <c r="B9" s="27" t="s">
        <v>5</v>
      </c>
      <c r="C9" s="27" t="s">
        <v>85</v>
      </c>
      <c r="D9" s="27" t="s">
        <v>86</v>
      </c>
      <c r="E9" s="27" t="s">
        <v>58</v>
      </c>
      <c r="F9" s="28">
        <v>42361</v>
      </c>
      <c r="G9" s="28">
        <v>42362</v>
      </c>
      <c r="H9" s="28">
        <v>46012</v>
      </c>
      <c r="I9" s="28" t="s">
        <v>166</v>
      </c>
      <c r="J9" s="28" t="s">
        <v>179</v>
      </c>
      <c r="K9" s="28" t="s">
        <v>180</v>
      </c>
      <c r="L9" s="28">
        <v>42729</v>
      </c>
      <c r="M9" s="28" t="s">
        <v>181</v>
      </c>
      <c r="N9" s="28">
        <v>43100</v>
      </c>
      <c r="O9" s="27" t="s">
        <v>182</v>
      </c>
      <c r="P9" s="28">
        <v>43464</v>
      </c>
      <c r="Q9" s="28" t="s">
        <v>183</v>
      </c>
      <c r="R9" s="28">
        <v>46012</v>
      </c>
      <c r="S9" s="28" t="s">
        <v>183</v>
      </c>
      <c r="T9" s="28" t="s">
        <v>166</v>
      </c>
      <c r="U9" s="36"/>
    </row>
    <row r="10" spans="1:21" s="34" customFormat="1" hidden="1" x14ac:dyDescent="0.25">
      <c r="A10" s="27" t="s">
        <v>6</v>
      </c>
      <c r="B10" s="27" t="s">
        <v>6</v>
      </c>
      <c r="C10" s="27" t="s">
        <v>85</v>
      </c>
      <c r="D10" s="27" t="s">
        <v>86</v>
      </c>
      <c r="E10" s="27" t="s">
        <v>58</v>
      </c>
      <c r="F10" s="28">
        <v>42755</v>
      </c>
      <c r="G10" s="28">
        <v>42756</v>
      </c>
      <c r="H10" s="28">
        <v>46404</v>
      </c>
      <c r="I10" s="28" t="s">
        <v>166</v>
      </c>
      <c r="J10" s="28" t="s">
        <v>184</v>
      </c>
      <c r="K10" s="28" t="s">
        <v>185</v>
      </c>
      <c r="L10" s="28">
        <v>43128</v>
      </c>
      <c r="M10" s="28" t="s">
        <v>186</v>
      </c>
      <c r="N10" s="28">
        <v>43492</v>
      </c>
      <c r="O10" s="27" t="s">
        <v>187</v>
      </c>
      <c r="P10" s="28">
        <v>43856</v>
      </c>
      <c r="Q10" s="28" t="s">
        <v>188</v>
      </c>
      <c r="R10" s="28">
        <v>46404</v>
      </c>
      <c r="S10" s="28" t="s">
        <v>188</v>
      </c>
      <c r="T10" s="28" t="s">
        <v>166</v>
      </c>
      <c r="U10" s="36"/>
    </row>
    <row r="11" spans="1:21" s="34" customFormat="1" hidden="1" x14ac:dyDescent="0.25">
      <c r="A11" s="27" t="s">
        <v>132</v>
      </c>
      <c r="B11" s="27" t="s">
        <v>132</v>
      </c>
      <c r="C11" s="27" t="s">
        <v>65</v>
      </c>
      <c r="D11" s="27" t="s">
        <v>66</v>
      </c>
      <c r="E11" s="19" t="s">
        <v>58</v>
      </c>
      <c r="F11" s="28">
        <v>42879</v>
      </c>
      <c r="G11" s="28">
        <v>42880</v>
      </c>
      <c r="H11" s="28">
        <v>46544</v>
      </c>
      <c r="I11" s="28" t="s">
        <v>166</v>
      </c>
      <c r="J11" s="28" t="s">
        <v>172</v>
      </c>
      <c r="K11" s="28" t="s">
        <v>173</v>
      </c>
      <c r="L11" s="28">
        <v>43268</v>
      </c>
      <c r="M11" s="28" t="s">
        <v>174</v>
      </c>
      <c r="N11" s="28">
        <v>43632</v>
      </c>
      <c r="O11" s="27" t="s">
        <v>175</v>
      </c>
      <c r="P11" s="28">
        <v>43996</v>
      </c>
      <c r="Q11" s="28" t="s">
        <v>176</v>
      </c>
      <c r="R11" s="28">
        <v>46544</v>
      </c>
      <c r="S11" s="28" t="s">
        <v>176</v>
      </c>
      <c r="T11" s="28" t="s">
        <v>166</v>
      </c>
      <c r="U11" s="36"/>
    </row>
    <row r="12" spans="1:21" s="34" customFormat="1" hidden="1" x14ac:dyDescent="0.25">
      <c r="A12" s="27" t="s">
        <v>7</v>
      </c>
      <c r="B12" s="27" t="s">
        <v>7</v>
      </c>
      <c r="C12" s="27" t="s">
        <v>57</v>
      </c>
      <c r="D12" s="27" t="s">
        <v>59</v>
      </c>
      <c r="E12" s="27" t="s">
        <v>58</v>
      </c>
      <c r="F12" s="28">
        <v>42373</v>
      </c>
      <c r="G12" s="28">
        <v>42374</v>
      </c>
      <c r="H12" s="28">
        <v>46040</v>
      </c>
      <c r="I12" s="28" t="s">
        <v>166</v>
      </c>
      <c r="J12" s="28" t="s">
        <v>189</v>
      </c>
      <c r="K12" s="28" t="s">
        <v>184</v>
      </c>
      <c r="L12" s="28">
        <v>42757</v>
      </c>
      <c r="M12" s="28" t="s">
        <v>185</v>
      </c>
      <c r="N12" s="28">
        <v>43128</v>
      </c>
      <c r="O12" s="27" t="s">
        <v>186</v>
      </c>
      <c r="P12" s="28">
        <v>43492</v>
      </c>
      <c r="Q12" s="28" t="s">
        <v>190</v>
      </c>
      <c r="R12" s="28">
        <v>46040</v>
      </c>
      <c r="S12" s="28" t="s">
        <v>190</v>
      </c>
      <c r="T12" s="28" t="s">
        <v>166</v>
      </c>
      <c r="U12" s="36"/>
    </row>
    <row r="13" spans="1:21" s="34" customFormat="1" hidden="1" x14ac:dyDescent="0.25">
      <c r="A13" s="27" t="s">
        <v>8</v>
      </c>
      <c r="B13" s="27" t="s">
        <v>8</v>
      </c>
      <c r="C13" s="27" t="s">
        <v>57</v>
      </c>
      <c r="D13" s="27" t="s">
        <v>59</v>
      </c>
      <c r="E13" s="27" t="s">
        <v>58</v>
      </c>
      <c r="F13" s="28">
        <v>42667</v>
      </c>
      <c r="G13" s="28">
        <v>42668</v>
      </c>
      <c r="H13" s="28">
        <v>46320</v>
      </c>
      <c r="I13" s="28" t="s">
        <v>166</v>
      </c>
      <c r="J13" s="28" t="s">
        <v>167</v>
      </c>
      <c r="K13" s="28" t="s">
        <v>168</v>
      </c>
      <c r="L13" s="28">
        <v>43037</v>
      </c>
      <c r="M13" s="28" t="s">
        <v>169</v>
      </c>
      <c r="N13" s="28">
        <v>43408</v>
      </c>
      <c r="O13" s="27" t="s">
        <v>170</v>
      </c>
      <c r="P13" s="28">
        <v>43772</v>
      </c>
      <c r="Q13" s="28" t="s">
        <v>171</v>
      </c>
      <c r="R13" s="28">
        <v>46320</v>
      </c>
      <c r="S13" s="28" t="s">
        <v>171</v>
      </c>
      <c r="T13" s="28" t="s">
        <v>166</v>
      </c>
      <c r="U13" s="36"/>
    </row>
    <row r="14" spans="1:21" s="34" customFormat="1" hidden="1" x14ac:dyDescent="0.25">
      <c r="A14" s="27" t="s">
        <v>9</v>
      </c>
      <c r="B14" s="27" t="s">
        <v>9</v>
      </c>
      <c r="C14" s="27" t="s">
        <v>85</v>
      </c>
      <c r="D14" s="27" t="s">
        <v>86</v>
      </c>
      <c r="E14" s="27" t="s">
        <v>58</v>
      </c>
      <c r="F14" s="28">
        <v>42749</v>
      </c>
      <c r="G14" s="28">
        <v>42750</v>
      </c>
      <c r="H14" s="28">
        <v>46404</v>
      </c>
      <c r="I14" s="28" t="s">
        <v>166</v>
      </c>
      <c r="J14" s="28" t="s">
        <v>184</v>
      </c>
      <c r="K14" s="28" t="s">
        <v>185</v>
      </c>
      <c r="L14" s="28">
        <v>43128</v>
      </c>
      <c r="M14" s="28" t="s">
        <v>186</v>
      </c>
      <c r="N14" s="28">
        <v>43492</v>
      </c>
      <c r="O14" s="27" t="s">
        <v>187</v>
      </c>
      <c r="P14" s="28">
        <v>43856</v>
      </c>
      <c r="Q14" s="28" t="s">
        <v>188</v>
      </c>
      <c r="R14" s="28">
        <v>46404</v>
      </c>
      <c r="S14" s="28" t="s">
        <v>188</v>
      </c>
      <c r="T14" s="28" t="s">
        <v>166</v>
      </c>
      <c r="U14" s="36"/>
    </row>
    <row r="15" spans="1:21" s="34" customFormat="1" hidden="1" x14ac:dyDescent="0.25">
      <c r="A15" s="27" t="s">
        <v>10</v>
      </c>
      <c r="B15" s="27" t="s">
        <v>10</v>
      </c>
      <c r="C15" s="27" t="s">
        <v>547</v>
      </c>
      <c r="D15" s="235" t="s">
        <v>545</v>
      </c>
      <c r="E15" s="48" t="s">
        <v>93</v>
      </c>
      <c r="F15" s="28">
        <v>42646</v>
      </c>
      <c r="G15" s="28">
        <v>42647</v>
      </c>
      <c r="H15" s="28">
        <v>46320</v>
      </c>
      <c r="I15" s="28" t="s">
        <v>166</v>
      </c>
      <c r="J15" s="28" t="s">
        <v>167</v>
      </c>
      <c r="K15" s="28" t="s">
        <v>168</v>
      </c>
      <c r="L15" s="28">
        <v>43037</v>
      </c>
      <c r="M15" s="28" t="s">
        <v>169</v>
      </c>
      <c r="N15" s="28">
        <v>43408</v>
      </c>
      <c r="O15" s="27" t="s">
        <v>170</v>
      </c>
      <c r="P15" s="28">
        <v>43772</v>
      </c>
      <c r="Q15" s="28" t="s">
        <v>171</v>
      </c>
      <c r="R15" s="28">
        <v>46320</v>
      </c>
      <c r="S15" s="28" t="s">
        <v>171</v>
      </c>
      <c r="T15" s="28" t="s">
        <v>166</v>
      </c>
      <c r="U15" s="36"/>
    </row>
    <row r="16" spans="1:21" s="34" customFormat="1" hidden="1" x14ac:dyDescent="0.25">
      <c r="A16" s="27" t="s">
        <v>267</v>
      </c>
      <c r="B16" s="27" t="s">
        <v>267</v>
      </c>
      <c r="C16" s="27" t="s">
        <v>57</v>
      </c>
      <c r="D16" s="27" t="s">
        <v>59</v>
      </c>
      <c r="E16" s="27" t="s">
        <v>93</v>
      </c>
      <c r="F16" s="28">
        <v>42983</v>
      </c>
      <c r="G16" s="28">
        <v>42984</v>
      </c>
      <c r="H16" s="28">
        <v>46656</v>
      </c>
      <c r="I16" s="28">
        <v>43008</v>
      </c>
      <c r="J16" s="28" t="s">
        <v>224</v>
      </c>
      <c r="K16" s="28" t="s">
        <v>166</v>
      </c>
      <c r="L16" s="28"/>
      <c r="M16" s="28" t="s">
        <v>166</v>
      </c>
      <c r="N16" s="28"/>
      <c r="O16" s="27" t="s">
        <v>166</v>
      </c>
      <c r="P16" s="28"/>
      <c r="Q16" s="28" t="s">
        <v>279</v>
      </c>
      <c r="R16" s="28">
        <v>46656</v>
      </c>
      <c r="S16" s="28" t="s">
        <v>279</v>
      </c>
      <c r="T16" s="28" t="s">
        <v>166</v>
      </c>
      <c r="U16" s="36"/>
    </row>
    <row r="17" spans="1:21" s="34" customFormat="1" hidden="1" x14ac:dyDescent="0.25">
      <c r="A17" s="27" t="s">
        <v>135</v>
      </c>
      <c r="B17" s="27" t="s">
        <v>162</v>
      </c>
      <c r="C17" s="27" t="s">
        <v>92</v>
      </c>
      <c r="D17" s="27" t="s">
        <v>94</v>
      </c>
      <c r="E17" s="27" t="s">
        <v>93</v>
      </c>
      <c r="F17" s="28">
        <v>42865</v>
      </c>
      <c r="G17" s="28">
        <v>42866</v>
      </c>
      <c r="H17" s="28">
        <v>46516</v>
      </c>
      <c r="I17" s="28">
        <v>42948</v>
      </c>
      <c r="J17" s="28" t="s">
        <v>177</v>
      </c>
      <c r="K17" s="28" t="s">
        <v>166</v>
      </c>
      <c r="L17" s="28" t="s">
        <v>166</v>
      </c>
      <c r="M17" s="28" t="s">
        <v>166</v>
      </c>
      <c r="N17" s="28" t="s">
        <v>166</v>
      </c>
      <c r="O17" s="27" t="s">
        <v>166</v>
      </c>
      <c r="P17" s="28" t="s">
        <v>166</v>
      </c>
      <c r="Q17" s="28" t="s">
        <v>178</v>
      </c>
      <c r="R17" s="28">
        <v>46516</v>
      </c>
      <c r="S17" s="28" t="s">
        <v>178</v>
      </c>
      <c r="T17" s="28" t="s">
        <v>166</v>
      </c>
      <c r="U17" s="36"/>
    </row>
    <row r="18" spans="1:21" s="34" customFormat="1" hidden="1" x14ac:dyDescent="0.25">
      <c r="A18" s="27" t="s">
        <v>157</v>
      </c>
      <c r="B18" s="27" t="s">
        <v>159</v>
      </c>
      <c r="C18" s="27" t="s">
        <v>92</v>
      </c>
      <c r="D18" s="27" t="s">
        <v>94</v>
      </c>
      <c r="E18" s="27" t="s">
        <v>93</v>
      </c>
      <c r="F18" s="28">
        <v>42949</v>
      </c>
      <c r="G18" s="28">
        <v>42950</v>
      </c>
      <c r="H18" s="28">
        <v>46600</v>
      </c>
      <c r="I18" s="28">
        <v>43032</v>
      </c>
      <c r="J18" s="28" t="s">
        <v>193</v>
      </c>
      <c r="K18" s="28" t="s">
        <v>166</v>
      </c>
      <c r="L18" s="28" t="s">
        <v>166</v>
      </c>
      <c r="M18" s="28" t="s">
        <v>166</v>
      </c>
      <c r="N18" s="28" t="s">
        <v>166</v>
      </c>
      <c r="O18" s="27" t="s">
        <v>166</v>
      </c>
      <c r="P18" s="28" t="s">
        <v>166</v>
      </c>
      <c r="Q18" s="28" t="s">
        <v>194</v>
      </c>
      <c r="R18" s="28">
        <v>46600</v>
      </c>
      <c r="S18" s="28" t="s">
        <v>194</v>
      </c>
      <c r="T18" s="28" t="s">
        <v>166</v>
      </c>
      <c r="U18" s="36"/>
    </row>
    <row r="19" spans="1:21" s="34" customFormat="1" hidden="1" x14ac:dyDescent="0.25">
      <c r="A19" s="27" t="s">
        <v>11</v>
      </c>
      <c r="B19" s="27" t="s">
        <v>11</v>
      </c>
      <c r="C19" s="27" t="s">
        <v>57</v>
      </c>
      <c r="D19" s="27" t="s">
        <v>59</v>
      </c>
      <c r="E19" s="27" t="s">
        <v>58</v>
      </c>
      <c r="F19" s="28">
        <v>42292</v>
      </c>
      <c r="G19" s="28">
        <v>42293</v>
      </c>
      <c r="H19" s="28">
        <v>45956</v>
      </c>
      <c r="I19" s="28" t="s">
        <v>166</v>
      </c>
      <c r="J19" s="28" t="s">
        <v>202</v>
      </c>
      <c r="K19" s="28" t="s">
        <v>167</v>
      </c>
      <c r="L19" s="28">
        <v>42673</v>
      </c>
      <c r="M19" s="28" t="s">
        <v>168</v>
      </c>
      <c r="N19" s="28">
        <v>43037</v>
      </c>
      <c r="O19" s="27" t="s">
        <v>169</v>
      </c>
      <c r="P19" s="28">
        <v>43408</v>
      </c>
      <c r="Q19" s="28" t="s">
        <v>203</v>
      </c>
      <c r="R19" s="28">
        <v>45956</v>
      </c>
      <c r="S19" s="28" t="s">
        <v>203</v>
      </c>
      <c r="T19" s="28" t="s">
        <v>166</v>
      </c>
      <c r="U19" s="36"/>
    </row>
    <row r="20" spans="1:21" s="34" customFormat="1" hidden="1" x14ac:dyDescent="0.25">
      <c r="A20" s="27" t="s">
        <v>12</v>
      </c>
      <c r="B20" s="27" t="s">
        <v>12</v>
      </c>
      <c r="C20" s="27" t="s">
        <v>70</v>
      </c>
      <c r="D20" s="27" t="s">
        <v>71</v>
      </c>
      <c r="E20" s="27" t="s">
        <v>58</v>
      </c>
      <c r="F20" s="28">
        <v>42324</v>
      </c>
      <c r="G20" s="28">
        <v>42325</v>
      </c>
      <c r="H20" s="28">
        <v>45984</v>
      </c>
      <c r="I20" s="28" t="s">
        <v>166</v>
      </c>
      <c r="J20" s="28" t="s">
        <v>204</v>
      </c>
      <c r="K20" s="28" t="s">
        <v>205</v>
      </c>
      <c r="L20" s="28">
        <v>42701</v>
      </c>
      <c r="M20" s="28" t="s">
        <v>206</v>
      </c>
      <c r="N20" s="28">
        <v>43065</v>
      </c>
      <c r="O20" s="27" t="s">
        <v>207</v>
      </c>
      <c r="P20" s="28">
        <v>43436</v>
      </c>
      <c r="Q20" s="28" t="s">
        <v>208</v>
      </c>
      <c r="R20" s="28">
        <v>45984</v>
      </c>
      <c r="S20" s="28" t="s">
        <v>208</v>
      </c>
      <c r="T20" s="28" t="s">
        <v>166</v>
      </c>
      <c r="U20" s="36"/>
    </row>
    <row r="21" spans="1:21" s="34" customFormat="1" hidden="1" x14ac:dyDescent="0.25">
      <c r="A21" s="27" t="s">
        <v>13</v>
      </c>
      <c r="B21" s="27" t="s">
        <v>13</v>
      </c>
      <c r="C21" s="27" t="s">
        <v>57</v>
      </c>
      <c r="D21" s="27" t="s">
        <v>59</v>
      </c>
      <c r="E21" s="27" t="s">
        <v>58</v>
      </c>
      <c r="F21" s="28">
        <v>42662</v>
      </c>
      <c r="G21" s="28">
        <v>42663</v>
      </c>
      <c r="H21" s="28">
        <v>46320</v>
      </c>
      <c r="I21" s="28" t="s">
        <v>166</v>
      </c>
      <c r="J21" s="28" t="s">
        <v>167</v>
      </c>
      <c r="K21" s="28" t="s">
        <v>168</v>
      </c>
      <c r="L21" s="28">
        <v>43037</v>
      </c>
      <c r="M21" s="28" t="s">
        <v>169</v>
      </c>
      <c r="N21" s="28">
        <v>43408</v>
      </c>
      <c r="O21" s="27" t="s">
        <v>170</v>
      </c>
      <c r="P21" s="28">
        <v>43772</v>
      </c>
      <c r="Q21" s="28" t="s">
        <v>171</v>
      </c>
      <c r="R21" s="28">
        <v>46320</v>
      </c>
      <c r="S21" s="28" t="s">
        <v>171</v>
      </c>
      <c r="T21" s="28" t="s">
        <v>166</v>
      </c>
      <c r="U21" s="36"/>
    </row>
    <row r="22" spans="1:21" s="34" customFormat="1" hidden="1" x14ac:dyDescent="0.25">
      <c r="A22" s="27" t="s">
        <v>14</v>
      </c>
      <c r="B22" s="27" t="s">
        <v>14</v>
      </c>
      <c r="C22" s="27" t="s">
        <v>261</v>
      </c>
      <c r="D22" s="27" t="s">
        <v>106</v>
      </c>
      <c r="E22" s="27" t="s">
        <v>93</v>
      </c>
      <c r="F22" s="28">
        <v>42662</v>
      </c>
      <c r="G22" s="28">
        <v>42663</v>
      </c>
      <c r="H22" s="28">
        <v>46320</v>
      </c>
      <c r="I22" s="28">
        <v>42745</v>
      </c>
      <c r="J22" s="28" t="s">
        <v>167</v>
      </c>
      <c r="K22" s="28" t="s">
        <v>166</v>
      </c>
      <c r="L22" s="28" t="s">
        <v>166</v>
      </c>
      <c r="M22" s="28" t="s">
        <v>166</v>
      </c>
      <c r="N22" s="28" t="s">
        <v>166</v>
      </c>
      <c r="O22" s="27" t="s">
        <v>166</v>
      </c>
      <c r="P22" s="28" t="s">
        <v>166</v>
      </c>
      <c r="Q22" s="28" t="s">
        <v>171</v>
      </c>
      <c r="R22" s="28">
        <v>46320</v>
      </c>
      <c r="S22" s="28" t="s">
        <v>171</v>
      </c>
      <c r="T22" s="28" t="s">
        <v>166</v>
      </c>
      <c r="U22" s="36"/>
    </row>
    <row r="23" spans="1:21" s="34" customFormat="1" hidden="1" x14ac:dyDescent="0.25">
      <c r="A23" s="27" t="s">
        <v>15</v>
      </c>
      <c r="B23" s="27" t="s">
        <v>163</v>
      </c>
      <c r="C23" s="27" t="s">
        <v>92</v>
      </c>
      <c r="D23" s="27" t="s">
        <v>94</v>
      </c>
      <c r="E23" s="27" t="s">
        <v>93</v>
      </c>
      <c r="F23" s="28">
        <v>42641</v>
      </c>
      <c r="G23" s="28">
        <v>42642</v>
      </c>
      <c r="H23" s="28">
        <v>46292</v>
      </c>
      <c r="I23" s="28">
        <v>42724</v>
      </c>
      <c r="J23" s="28" t="s">
        <v>196</v>
      </c>
      <c r="K23" s="28" t="s">
        <v>166</v>
      </c>
      <c r="L23" s="28" t="s">
        <v>166</v>
      </c>
      <c r="M23" s="28" t="s">
        <v>166</v>
      </c>
      <c r="N23" s="28" t="s">
        <v>166</v>
      </c>
      <c r="O23" s="27" t="s">
        <v>166</v>
      </c>
      <c r="P23" s="28" t="s">
        <v>166</v>
      </c>
      <c r="Q23" s="28" t="s">
        <v>197</v>
      </c>
      <c r="R23" s="28">
        <v>46292</v>
      </c>
      <c r="S23" s="28" t="s">
        <v>197</v>
      </c>
      <c r="T23" s="28" t="s">
        <v>166</v>
      </c>
      <c r="U23" s="36"/>
    </row>
    <row r="24" spans="1:21" s="34" customFormat="1" hidden="1" x14ac:dyDescent="0.25">
      <c r="A24" s="27" t="s">
        <v>16</v>
      </c>
      <c r="B24" s="27" t="s">
        <v>158</v>
      </c>
      <c r="C24" s="27" t="s">
        <v>92</v>
      </c>
      <c r="D24" s="27" t="s">
        <v>94</v>
      </c>
      <c r="E24" s="27" t="s">
        <v>93</v>
      </c>
      <c r="F24" s="28">
        <v>42571</v>
      </c>
      <c r="G24" s="28">
        <v>42572</v>
      </c>
      <c r="H24" s="28">
        <v>46236</v>
      </c>
      <c r="I24" s="28">
        <v>42654</v>
      </c>
      <c r="J24" s="28" t="s">
        <v>191</v>
      </c>
      <c r="K24" s="28" t="s">
        <v>166</v>
      </c>
      <c r="L24" s="28" t="s">
        <v>166</v>
      </c>
      <c r="M24" s="28" t="s">
        <v>166</v>
      </c>
      <c r="N24" s="28" t="s">
        <v>166</v>
      </c>
      <c r="O24" s="27" t="s">
        <v>166</v>
      </c>
      <c r="P24" s="28" t="s">
        <v>166</v>
      </c>
      <c r="Q24" s="28" t="s">
        <v>192</v>
      </c>
      <c r="R24" s="28">
        <v>46236</v>
      </c>
      <c r="S24" s="28" t="s">
        <v>192</v>
      </c>
      <c r="T24" s="28" t="s">
        <v>166</v>
      </c>
      <c r="U24" s="36"/>
    </row>
    <row r="25" spans="1:21" s="34" customFormat="1" hidden="1" x14ac:dyDescent="0.25">
      <c r="A25" s="27" t="s">
        <v>17</v>
      </c>
      <c r="B25" s="27" t="s">
        <v>17</v>
      </c>
      <c r="C25" s="27" t="s">
        <v>548</v>
      </c>
      <c r="D25" s="235" t="s">
        <v>545</v>
      </c>
      <c r="E25" s="48" t="s">
        <v>93</v>
      </c>
      <c r="F25" s="28">
        <v>42404</v>
      </c>
      <c r="G25" s="28">
        <v>42405</v>
      </c>
      <c r="H25" s="28">
        <v>46068</v>
      </c>
      <c r="I25" s="28" t="s">
        <v>166</v>
      </c>
      <c r="J25" s="28" t="s">
        <v>209</v>
      </c>
      <c r="K25" s="28" t="s">
        <v>200</v>
      </c>
      <c r="L25" s="28">
        <v>42785</v>
      </c>
      <c r="M25" s="28" t="s">
        <v>210</v>
      </c>
      <c r="N25" s="28">
        <v>43156</v>
      </c>
      <c r="O25" s="27" t="s">
        <v>211</v>
      </c>
      <c r="P25" s="28">
        <v>43520</v>
      </c>
      <c r="Q25" s="28" t="s">
        <v>212</v>
      </c>
      <c r="R25" s="28">
        <v>46068</v>
      </c>
      <c r="S25" s="28" t="s">
        <v>212</v>
      </c>
      <c r="T25" s="28" t="s">
        <v>166</v>
      </c>
      <c r="U25" s="36"/>
    </row>
    <row r="26" spans="1:21" s="34" customFormat="1" hidden="1" x14ac:dyDescent="0.25">
      <c r="A26" s="27" t="s">
        <v>133</v>
      </c>
      <c r="B26" s="27" t="s">
        <v>133</v>
      </c>
      <c r="C26" s="27" t="s">
        <v>134</v>
      </c>
      <c r="D26" s="27" t="s">
        <v>111</v>
      </c>
      <c r="E26" s="27" t="s">
        <v>93</v>
      </c>
      <c r="F26" s="28">
        <v>42891</v>
      </c>
      <c r="G26" s="28">
        <v>42892</v>
      </c>
      <c r="H26" s="28">
        <v>46544</v>
      </c>
      <c r="I26" s="28">
        <v>42974</v>
      </c>
      <c r="J26" s="28" t="s">
        <v>172</v>
      </c>
      <c r="K26" s="28" t="s">
        <v>166</v>
      </c>
      <c r="L26" s="28" t="s">
        <v>166</v>
      </c>
      <c r="M26" s="28" t="s">
        <v>166</v>
      </c>
      <c r="N26" s="28" t="s">
        <v>166</v>
      </c>
      <c r="O26" s="27" t="s">
        <v>166</v>
      </c>
      <c r="P26" s="28" t="s">
        <v>166</v>
      </c>
      <c r="Q26" s="28" t="s">
        <v>176</v>
      </c>
      <c r="R26" s="28">
        <v>46544</v>
      </c>
      <c r="S26" s="28" t="s">
        <v>176</v>
      </c>
      <c r="T26" s="28" t="s">
        <v>166</v>
      </c>
      <c r="U26" s="36"/>
    </row>
    <row r="27" spans="1:21" s="34" customFormat="1" hidden="1" x14ac:dyDescent="0.25">
      <c r="A27" s="74" t="s">
        <v>18</v>
      </c>
      <c r="B27" s="74" t="s">
        <v>18</v>
      </c>
      <c r="C27" s="74" t="s">
        <v>65</v>
      </c>
      <c r="D27" s="74" t="s">
        <v>66</v>
      </c>
      <c r="E27" s="74" t="s">
        <v>58</v>
      </c>
      <c r="F27" s="75">
        <v>42427</v>
      </c>
      <c r="G27" s="75">
        <v>42428</v>
      </c>
      <c r="H27" s="75">
        <v>46096</v>
      </c>
      <c r="I27" s="75" t="s">
        <v>166</v>
      </c>
      <c r="J27" s="75" t="s">
        <v>213</v>
      </c>
      <c r="K27" s="75" t="s">
        <v>214</v>
      </c>
      <c r="L27" s="75">
        <v>42813</v>
      </c>
      <c r="M27" s="75" t="s">
        <v>215</v>
      </c>
      <c r="N27" s="75">
        <v>43184</v>
      </c>
      <c r="O27" s="74" t="s">
        <v>216</v>
      </c>
      <c r="P27" s="75">
        <v>43548</v>
      </c>
      <c r="Q27" s="75" t="s">
        <v>217</v>
      </c>
      <c r="R27" s="75">
        <v>46096</v>
      </c>
      <c r="S27" s="75" t="s">
        <v>217</v>
      </c>
      <c r="T27" s="75" t="s">
        <v>166</v>
      </c>
      <c r="U27" s="36" t="s">
        <v>393</v>
      </c>
    </row>
    <row r="28" spans="1:21" s="34" customFormat="1" hidden="1" x14ac:dyDescent="0.25">
      <c r="A28" s="27" t="s">
        <v>19</v>
      </c>
      <c r="B28" s="27" t="s">
        <v>19</v>
      </c>
      <c r="C28" s="27" t="s">
        <v>260</v>
      </c>
      <c r="D28" s="27" t="s">
        <v>106</v>
      </c>
      <c r="E28" s="27" t="s">
        <v>93</v>
      </c>
      <c r="F28" s="28">
        <v>42634</v>
      </c>
      <c r="G28" s="28">
        <v>42635</v>
      </c>
      <c r="H28" s="28">
        <v>46292</v>
      </c>
      <c r="I28" s="28">
        <v>42717</v>
      </c>
      <c r="J28" s="28" t="s">
        <v>196</v>
      </c>
      <c r="K28" s="28" t="s">
        <v>166</v>
      </c>
      <c r="L28" s="28" t="s">
        <v>166</v>
      </c>
      <c r="M28" s="28" t="s">
        <v>166</v>
      </c>
      <c r="N28" s="28" t="s">
        <v>166</v>
      </c>
      <c r="O28" s="27" t="s">
        <v>166</v>
      </c>
      <c r="P28" s="28" t="s">
        <v>166</v>
      </c>
      <c r="Q28" s="28" t="s">
        <v>197</v>
      </c>
      <c r="R28" s="28">
        <v>46292</v>
      </c>
      <c r="S28" s="28" t="s">
        <v>197</v>
      </c>
      <c r="T28" s="28" t="s">
        <v>166</v>
      </c>
      <c r="U28" s="36"/>
    </row>
    <row r="29" spans="1:21" s="34" customFormat="1" hidden="1" x14ac:dyDescent="0.25">
      <c r="A29" s="29" t="s">
        <v>424</v>
      </c>
      <c r="B29" s="29" t="s">
        <v>424</v>
      </c>
      <c r="C29" s="27" t="s">
        <v>85</v>
      </c>
      <c r="D29" s="27" t="s">
        <v>86</v>
      </c>
      <c r="E29" s="27" t="s">
        <v>58</v>
      </c>
      <c r="F29" s="28">
        <v>42178</v>
      </c>
      <c r="G29" s="28">
        <v>42179</v>
      </c>
      <c r="H29" s="28">
        <v>45844</v>
      </c>
      <c r="I29" s="28" t="s">
        <v>166</v>
      </c>
      <c r="J29" s="28" t="s">
        <v>218</v>
      </c>
      <c r="K29" s="28" t="s">
        <v>219</v>
      </c>
      <c r="L29" s="28">
        <v>42561</v>
      </c>
      <c r="M29" s="28" t="s">
        <v>198</v>
      </c>
      <c r="N29" s="28">
        <v>42925</v>
      </c>
      <c r="O29" s="27" t="s">
        <v>220</v>
      </c>
      <c r="P29" s="28">
        <v>43296</v>
      </c>
      <c r="Q29" s="28" t="s">
        <v>221</v>
      </c>
      <c r="R29" s="28">
        <v>45844</v>
      </c>
      <c r="S29" s="28" t="s">
        <v>221</v>
      </c>
      <c r="T29" s="28" t="s">
        <v>166</v>
      </c>
      <c r="U29" s="36"/>
    </row>
    <row r="30" spans="1:21" s="34" customFormat="1" hidden="1" x14ac:dyDescent="0.25">
      <c r="A30" s="27" t="s">
        <v>136</v>
      </c>
      <c r="B30" s="27" t="s">
        <v>136</v>
      </c>
      <c r="C30" s="27" t="s">
        <v>70</v>
      </c>
      <c r="D30" s="27" t="s">
        <v>71</v>
      </c>
      <c r="E30" s="27" t="s">
        <v>93</v>
      </c>
      <c r="F30" s="28">
        <v>42913</v>
      </c>
      <c r="G30" s="28">
        <v>42914</v>
      </c>
      <c r="H30" s="28">
        <v>46572</v>
      </c>
      <c r="I30" s="28"/>
      <c r="J30" s="28" t="s">
        <v>198</v>
      </c>
      <c r="K30" s="28" t="s">
        <v>220</v>
      </c>
      <c r="L30" s="28"/>
      <c r="M30" s="28" t="s">
        <v>222</v>
      </c>
      <c r="N30" s="28"/>
      <c r="O30" s="27" t="s">
        <v>223</v>
      </c>
      <c r="P30" s="28"/>
      <c r="Q30" s="28" t="s">
        <v>199</v>
      </c>
      <c r="R30" s="28">
        <v>46572</v>
      </c>
      <c r="S30" s="28" t="s">
        <v>199</v>
      </c>
      <c r="T30" s="28" t="s">
        <v>166</v>
      </c>
      <c r="U30" s="36"/>
    </row>
    <row r="31" spans="1:21" s="34" customFormat="1" hidden="1" x14ac:dyDescent="0.25">
      <c r="A31" s="27" t="s">
        <v>20</v>
      </c>
      <c r="B31" s="27" t="s">
        <v>20</v>
      </c>
      <c r="C31" s="27" t="s">
        <v>57</v>
      </c>
      <c r="D31" s="27" t="s">
        <v>59</v>
      </c>
      <c r="E31" s="27" t="s">
        <v>58</v>
      </c>
      <c r="F31" s="28">
        <v>42641</v>
      </c>
      <c r="G31" s="28">
        <v>42642</v>
      </c>
      <c r="H31" s="28">
        <v>46292</v>
      </c>
      <c r="I31" s="28" t="s">
        <v>166</v>
      </c>
      <c r="J31" s="28" t="s">
        <v>196</v>
      </c>
      <c r="K31" s="28" t="s">
        <v>224</v>
      </c>
      <c r="L31" s="28">
        <v>43009</v>
      </c>
      <c r="M31" s="28" t="s">
        <v>225</v>
      </c>
      <c r="N31" s="28">
        <v>43380</v>
      </c>
      <c r="O31" s="27" t="s">
        <v>226</v>
      </c>
      <c r="P31" s="28">
        <v>43744</v>
      </c>
      <c r="Q31" s="28" t="s">
        <v>197</v>
      </c>
      <c r="R31" s="28">
        <v>46292</v>
      </c>
      <c r="S31" s="28" t="s">
        <v>197</v>
      </c>
      <c r="T31" s="28" t="s">
        <v>166</v>
      </c>
      <c r="U31" s="36"/>
    </row>
    <row r="32" spans="1:21" s="34" customFormat="1" hidden="1" x14ac:dyDescent="0.25">
      <c r="A32" s="27" t="s">
        <v>21</v>
      </c>
      <c r="B32" s="27" t="s">
        <v>21</v>
      </c>
      <c r="C32" s="27" t="s">
        <v>70</v>
      </c>
      <c r="D32" s="27" t="s">
        <v>71</v>
      </c>
      <c r="E32" s="27" t="s">
        <v>58</v>
      </c>
      <c r="F32" s="28">
        <v>42234</v>
      </c>
      <c r="G32" s="28">
        <v>42235</v>
      </c>
      <c r="H32" s="28">
        <v>45900</v>
      </c>
      <c r="I32" s="28" t="s">
        <v>166</v>
      </c>
      <c r="J32" s="28" t="s">
        <v>227</v>
      </c>
      <c r="K32" s="28" t="s">
        <v>228</v>
      </c>
      <c r="L32" s="28">
        <v>42617</v>
      </c>
      <c r="M32" s="28" t="s">
        <v>229</v>
      </c>
      <c r="N32" s="28">
        <v>42981</v>
      </c>
      <c r="O32" s="27" t="s">
        <v>230</v>
      </c>
      <c r="P32" s="28">
        <v>43352</v>
      </c>
      <c r="Q32" s="28" t="s">
        <v>231</v>
      </c>
      <c r="R32" s="28">
        <v>45900</v>
      </c>
      <c r="S32" s="28" t="s">
        <v>231</v>
      </c>
      <c r="T32" s="28" t="s">
        <v>166</v>
      </c>
      <c r="U32" s="36"/>
    </row>
    <row r="33" spans="1:21" s="34" customFormat="1" hidden="1" x14ac:dyDescent="0.25">
      <c r="A33" s="27" t="s">
        <v>22</v>
      </c>
      <c r="B33" s="27" t="s">
        <v>22</v>
      </c>
      <c r="C33" s="27" t="s">
        <v>261</v>
      </c>
      <c r="D33" s="27" t="s">
        <v>106</v>
      </c>
      <c r="E33" s="27" t="s">
        <v>93</v>
      </c>
      <c r="F33" s="28">
        <v>42826</v>
      </c>
      <c r="G33" s="28">
        <v>42827</v>
      </c>
      <c r="H33" s="28">
        <v>46488</v>
      </c>
      <c r="I33" s="28">
        <v>42909</v>
      </c>
      <c r="J33" s="28" t="s">
        <v>232</v>
      </c>
      <c r="K33" s="28" t="s">
        <v>166</v>
      </c>
      <c r="L33" s="28" t="s">
        <v>166</v>
      </c>
      <c r="M33" s="28" t="s">
        <v>166</v>
      </c>
      <c r="N33" s="28" t="s">
        <v>166</v>
      </c>
      <c r="O33" s="27" t="s">
        <v>166</v>
      </c>
      <c r="P33" s="28" t="s">
        <v>166</v>
      </c>
      <c r="Q33" s="28" t="s">
        <v>233</v>
      </c>
      <c r="R33" s="28">
        <v>46488</v>
      </c>
      <c r="S33" s="28" t="s">
        <v>233</v>
      </c>
      <c r="T33" s="28" t="s">
        <v>166</v>
      </c>
      <c r="U33" s="36"/>
    </row>
    <row r="34" spans="1:21" s="34" customFormat="1" hidden="1" x14ac:dyDescent="0.25">
      <c r="A34" s="27" t="s">
        <v>23</v>
      </c>
      <c r="B34" s="27" t="s">
        <v>23</v>
      </c>
      <c r="C34" s="27" t="s">
        <v>65</v>
      </c>
      <c r="D34" s="27" t="s">
        <v>66</v>
      </c>
      <c r="E34" s="27" t="s">
        <v>58</v>
      </c>
      <c r="F34" s="28">
        <v>42820</v>
      </c>
      <c r="G34" s="28">
        <v>42821</v>
      </c>
      <c r="H34" s="28">
        <v>46488</v>
      </c>
      <c r="I34" s="28" t="s">
        <v>166</v>
      </c>
      <c r="J34" s="28" t="s">
        <v>232</v>
      </c>
      <c r="K34" s="28" t="s">
        <v>234</v>
      </c>
      <c r="L34" s="28">
        <v>43212</v>
      </c>
      <c r="M34" s="28" t="s">
        <v>235</v>
      </c>
      <c r="N34" s="28">
        <v>43576</v>
      </c>
      <c r="O34" s="27" t="s">
        <v>236</v>
      </c>
      <c r="P34" s="28">
        <v>43940</v>
      </c>
      <c r="Q34" s="28" t="s">
        <v>233</v>
      </c>
      <c r="R34" s="28">
        <v>46488</v>
      </c>
      <c r="S34" s="28" t="s">
        <v>233</v>
      </c>
      <c r="T34" s="28" t="s">
        <v>166</v>
      </c>
      <c r="U34" s="36"/>
    </row>
    <row r="35" spans="1:21" s="34" customFormat="1" hidden="1" x14ac:dyDescent="0.25">
      <c r="A35" s="27" t="s">
        <v>24</v>
      </c>
      <c r="B35" s="27" t="s">
        <v>24</v>
      </c>
      <c r="C35" s="27" t="s">
        <v>65</v>
      </c>
      <c r="D35" s="27" t="s">
        <v>66</v>
      </c>
      <c r="E35" s="27" t="s">
        <v>58</v>
      </c>
      <c r="F35" s="28">
        <v>42642</v>
      </c>
      <c r="G35" s="28">
        <v>42643</v>
      </c>
      <c r="H35" s="28">
        <v>46292</v>
      </c>
      <c r="I35" s="28" t="s">
        <v>166</v>
      </c>
      <c r="J35" s="28" t="s">
        <v>196</v>
      </c>
      <c r="K35" s="28" t="s">
        <v>224</v>
      </c>
      <c r="L35" s="28">
        <v>43009</v>
      </c>
      <c r="M35" s="28" t="s">
        <v>225</v>
      </c>
      <c r="N35" s="28">
        <v>43380</v>
      </c>
      <c r="O35" s="27" t="s">
        <v>226</v>
      </c>
      <c r="P35" s="28">
        <v>43744</v>
      </c>
      <c r="Q35" s="28" t="s">
        <v>197</v>
      </c>
      <c r="R35" s="28">
        <v>46292</v>
      </c>
      <c r="S35" s="28" t="s">
        <v>197</v>
      </c>
      <c r="T35" s="28" t="s">
        <v>166</v>
      </c>
      <c r="U35" s="36"/>
    </row>
    <row r="36" spans="1:21" s="34" customFormat="1" hidden="1" x14ac:dyDescent="0.25">
      <c r="A36" s="27" t="s">
        <v>25</v>
      </c>
      <c r="B36" s="27" t="s">
        <v>25</v>
      </c>
      <c r="C36" s="27" t="s">
        <v>65</v>
      </c>
      <c r="D36" s="27" t="s">
        <v>66</v>
      </c>
      <c r="E36" s="27" t="s">
        <v>58</v>
      </c>
      <c r="F36" s="28">
        <v>42468</v>
      </c>
      <c r="G36" s="28">
        <v>42469</v>
      </c>
      <c r="H36" s="28">
        <v>46124</v>
      </c>
      <c r="I36" s="28" t="s">
        <v>166</v>
      </c>
      <c r="J36" s="28" t="s">
        <v>237</v>
      </c>
      <c r="K36" s="28" t="s">
        <v>232</v>
      </c>
      <c r="L36" s="28">
        <v>42841</v>
      </c>
      <c r="M36" s="28" t="s">
        <v>234</v>
      </c>
      <c r="N36" s="28">
        <v>43212</v>
      </c>
      <c r="O36" s="27" t="s">
        <v>235</v>
      </c>
      <c r="P36" s="28">
        <v>43576</v>
      </c>
      <c r="Q36" s="28" t="s">
        <v>238</v>
      </c>
      <c r="R36" s="28">
        <v>46124</v>
      </c>
      <c r="S36" s="28" t="s">
        <v>238</v>
      </c>
      <c r="T36" s="28" t="s">
        <v>166</v>
      </c>
      <c r="U36" s="36"/>
    </row>
    <row r="37" spans="1:21" s="34" customFormat="1" hidden="1" x14ac:dyDescent="0.25">
      <c r="A37" s="27" t="s">
        <v>26</v>
      </c>
      <c r="B37" s="27" t="s">
        <v>26</v>
      </c>
      <c r="C37" s="27" t="s">
        <v>85</v>
      </c>
      <c r="D37" s="27" t="s">
        <v>86</v>
      </c>
      <c r="E37" s="27" t="s">
        <v>58</v>
      </c>
      <c r="F37" s="28">
        <v>42231</v>
      </c>
      <c r="G37" s="28">
        <v>42232</v>
      </c>
      <c r="H37" s="28">
        <v>45900</v>
      </c>
      <c r="I37" s="28" t="s">
        <v>166</v>
      </c>
      <c r="J37" s="28" t="s">
        <v>227</v>
      </c>
      <c r="K37" s="28" t="s">
        <v>228</v>
      </c>
      <c r="L37" s="28">
        <v>42617</v>
      </c>
      <c r="M37" s="28" t="s">
        <v>229</v>
      </c>
      <c r="N37" s="28">
        <v>42981</v>
      </c>
      <c r="O37" s="27" t="s">
        <v>230</v>
      </c>
      <c r="P37" s="28">
        <v>43352</v>
      </c>
      <c r="Q37" s="28" t="s">
        <v>231</v>
      </c>
      <c r="R37" s="28">
        <v>45900</v>
      </c>
      <c r="S37" s="28" t="s">
        <v>231</v>
      </c>
      <c r="T37" s="28" t="s">
        <v>166</v>
      </c>
      <c r="U37" s="36"/>
    </row>
    <row r="38" spans="1:21" s="34" customFormat="1" hidden="1" x14ac:dyDescent="0.25">
      <c r="A38" s="27" t="s">
        <v>27</v>
      </c>
      <c r="B38" s="27" t="s">
        <v>160</v>
      </c>
      <c r="C38" s="27" t="s">
        <v>92</v>
      </c>
      <c r="D38" s="27" t="s">
        <v>94</v>
      </c>
      <c r="E38" s="27" t="s">
        <v>93</v>
      </c>
      <c r="F38" s="28">
        <v>42662</v>
      </c>
      <c r="G38" s="28">
        <v>42663</v>
      </c>
      <c r="H38" s="28">
        <v>46320</v>
      </c>
      <c r="I38" s="28">
        <v>42745</v>
      </c>
      <c r="J38" s="28" t="s">
        <v>167</v>
      </c>
      <c r="K38" s="28" t="s">
        <v>166</v>
      </c>
      <c r="L38" s="28" t="s">
        <v>166</v>
      </c>
      <c r="M38" s="28" t="s">
        <v>166</v>
      </c>
      <c r="N38" s="28" t="s">
        <v>166</v>
      </c>
      <c r="O38" s="27" t="s">
        <v>166</v>
      </c>
      <c r="P38" s="28" t="s">
        <v>166</v>
      </c>
      <c r="Q38" s="28" t="s">
        <v>171</v>
      </c>
      <c r="R38" s="28">
        <v>46320</v>
      </c>
      <c r="S38" s="28" t="s">
        <v>171</v>
      </c>
      <c r="T38" s="28" t="s">
        <v>166</v>
      </c>
      <c r="U38" s="36"/>
    </row>
    <row r="39" spans="1:21" s="34" customFormat="1" hidden="1" x14ac:dyDescent="0.25">
      <c r="A39" s="27" t="s">
        <v>28</v>
      </c>
      <c r="B39" s="27" t="s">
        <v>165</v>
      </c>
      <c r="C39" s="27" t="s">
        <v>92</v>
      </c>
      <c r="D39" s="27" t="s">
        <v>94</v>
      </c>
      <c r="E39" s="27" t="s">
        <v>93</v>
      </c>
      <c r="F39" s="28">
        <v>42781</v>
      </c>
      <c r="G39" s="28">
        <v>42782</v>
      </c>
      <c r="H39" s="28">
        <v>46432</v>
      </c>
      <c r="I39" s="28">
        <v>42864</v>
      </c>
      <c r="J39" s="28" t="s">
        <v>200</v>
      </c>
      <c r="K39" s="28" t="s">
        <v>166</v>
      </c>
      <c r="L39" s="28" t="s">
        <v>166</v>
      </c>
      <c r="M39" s="28" t="s">
        <v>166</v>
      </c>
      <c r="N39" s="28" t="s">
        <v>166</v>
      </c>
      <c r="O39" s="27" t="s">
        <v>166</v>
      </c>
      <c r="P39" s="28" t="s">
        <v>166</v>
      </c>
      <c r="Q39" s="28" t="s">
        <v>201</v>
      </c>
      <c r="R39" s="28">
        <v>46432</v>
      </c>
      <c r="S39" s="28" t="s">
        <v>201</v>
      </c>
      <c r="T39" s="28" t="s">
        <v>166</v>
      </c>
      <c r="U39" s="36"/>
    </row>
    <row r="40" spans="1:21" s="34" customFormat="1" hidden="1" x14ac:dyDescent="0.25">
      <c r="A40" s="27" t="s">
        <v>29</v>
      </c>
      <c r="B40" s="27" t="s">
        <v>29</v>
      </c>
      <c r="C40" s="27" t="s">
        <v>57</v>
      </c>
      <c r="D40" s="27" t="s">
        <v>59</v>
      </c>
      <c r="E40" s="27" t="s">
        <v>58</v>
      </c>
      <c r="F40" s="28">
        <v>41892</v>
      </c>
      <c r="G40" s="28">
        <v>41893</v>
      </c>
      <c r="H40" s="28">
        <v>45564</v>
      </c>
      <c r="I40" s="28" t="s">
        <v>166</v>
      </c>
      <c r="J40" s="28" t="s">
        <v>239</v>
      </c>
      <c r="K40" s="28" t="s">
        <v>240</v>
      </c>
      <c r="L40" s="28">
        <v>42281</v>
      </c>
      <c r="M40" s="28" t="s">
        <v>196</v>
      </c>
      <c r="N40" s="28">
        <v>42645</v>
      </c>
      <c r="O40" s="27" t="s">
        <v>224</v>
      </c>
      <c r="P40" s="28">
        <v>43009</v>
      </c>
      <c r="Q40" s="28" t="s">
        <v>241</v>
      </c>
      <c r="R40" s="28">
        <v>45564</v>
      </c>
      <c r="S40" s="28" t="s">
        <v>241</v>
      </c>
      <c r="T40" s="28" t="s">
        <v>166</v>
      </c>
      <c r="U40" s="36"/>
    </row>
    <row r="41" spans="1:21" s="34" customFormat="1" hidden="1" x14ac:dyDescent="0.25">
      <c r="A41" s="27" t="s">
        <v>30</v>
      </c>
      <c r="B41" s="27" t="s">
        <v>30</v>
      </c>
      <c r="C41" s="27" t="s">
        <v>261</v>
      </c>
      <c r="D41" s="27" t="s">
        <v>106</v>
      </c>
      <c r="E41" s="27" t="s">
        <v>93</v>
      </c>
      <c r="F41" s="28">
        <v>42748</v>
      </c>
      <c r="G41" s="28">
        <v>42749</v>
      </c>
      <c r="H41" s="28">
        <v>46404</v>
      </c>
      <c r="I41" s="28">
        <v>42831</v>
      </c>
      <c r="J41" s="28" t="s">
        <v>184</v>
      </c>
      <c r="K41" s="28" t="s">
        <v>166</v>
      </c>
      <c r="L41" s="28" t="s">
        <v>166</v>
      </c>
      <c r="M41" s="28" t="s">
        <v>166</v>
      </c>
      <c r="N41" s="28" t="s">
        <v>166</v>
      </c>
      <c r="O41" s="27" t="s">
        <v>166</v>
      </c>
      <c r="P41" s="28" t="s">
        <v>166</v>
      </c>
      <c r="Q41" s="28" t="s">
        <v>188</v>
      </c>
      <c r="R41" s="28">
        <v>46404</v>
      </c>
      <c r="S41" s="28" t="s">
        <v>188</v>
      </c>
      <c r="T41" s="28" t="s">
        <v>166</v>
      </c>
      <c r="U41" s="36"/>
    </row>
    <row r="42" spans="1:21" s="34" customFormat="1" hidden="1" x14ac:dyDescent="0.25">
      <c r="A42" s="27" t="s">
        <v>139</v>
      </c>
      <c r="B42" s="27" t="s">
        <v>139</v>
      </c>
      <c r="C42" s="27" t="s">
        <v>260</v>
      </c>
      <c r="D42" s="27" t="s">
        <v>106</v>
      </c>
      <c r="E42" s="27" t="s">
        <v>93</v>
      </c>
      <c r="F42" s="28">
        <v>42942</v>
      </c>
      <c r="G42" s="28">
        <v>42943</v>
      </c>
      <c r="H42" s="28">
        <v>46600</v>
      </c>
      <c r="I42" s="28">
        <v>43025</v>
      </c>
      <c r="J42" s="28" t="s">
        <v>193</v>
      </c>
      <c r="K42" s="28" t="s">
        <v>166</v>
      </c>
      <c r="L42" s="28" t="s">
        <v>166</v>
      </c>
      <c r="M42" s="28" t="s">
        <v>166</v>
      </c>
      <c r="N42" s="28" t="s">
        <v>166</v>
      </c>
      <c r="O42" s="27" t="s">
        <v>166</v>
      </c>
      <c r="P42" s="28" t="s">
        <v>166</v>
      </c>
      <c r="Q42" s="28" t="s">
        <v>194</v>
      </c>
      <c r="R42" s="28">
        <v>46600</v>
      </c>
      <c r="S42" s="28" t="s">
        <v>194</v>
      </c>
      <c r="T42" s="28" t="s">
        <v>166</v>
      </c>
      <c r="U42" s="36"/>
    </row>
    <row r="43" spans="1:21" s="34" customFormat="1" hidden="1" x14ac:dyDescent="0.25">
      <c r="A43" s="27" t="s">
        <v>262</v>
      </c>
      <c r="B43" s="27" t="s">
        <v>262</v>
      </c>
      <c r="C43" s="27" t="s">
        <v>549</v>
      </c>
      <c r="D43" s="235" t="s">
        <v>545</v>
      </c>
      <c r="E43" s="48" t="s">
        <v>93</v>
      </c>
      <c r="F43" s="28">
        <v>42129.291666666664</v>
      </c>
      <c r="G43" s="28"/>
      <c r="H43" s="28"/>
      <c r="I43" s="28" t="s">
        <v>166</v>
      </c>
      <c r="J43" s="28"/>
      <c r="K43" s="28"/>
      <c r="L43" s="28"/>
      <c r="M43" s="28"/>
      <c r="N43" s="28"/>
      <c r="O43" s="27"/>
      <c r="P43" s="28"/>
      <c r="Q43" s="28" t="s">
        <v>243</v>
      </c>
      <c r="R43" s="28">
        <v>45788</v>
      </c>
      <c r="S43" s="28" t="s">
        <v>243</v>
      </c>
      <c r="T43" s="28" t="s">
        <v>166</v>
      </c>
      <c r="U43" s="36"/>
    </row>
    <row r="44" spans="1:21" s="34" customFormat="1" hidden="1" x14ac:dyDescent="0.25">
      <c r="A44" s="27" t="s">
        <v>155</v>
      </c>
      <c r="B44" s="27" t="s">
        <v>155</v>
      </c>
      <c r="C44" s="27" t="s">
        <v>550</v>
      </c>
      <c r="D44" s="235" t="s">
        <v>545</v>
      </c>
      <c r="E44" s="48" t="s">
        <v>93</v>
      </c>
      <c r="F44" s="28">
        <v>42954</v>
      </c>
      <c r="G44" s="28">
        <v>42955</v>
      </c>
      <c r="H44" s="28">
        <v>46628</v>
      </c>
      <c r="I44" s="28" t="s">
        <v>166</v>
      </c>
      <c r="J44" s="28" t="s">
        <v>229</v>
      </c>
      <c r="K44" s="28" t="s">
        <v>230</v>
      </c>
      <c r="L44" s="28">
        <v>43352</v>
      </c>
      <c r="M44" s="28" t="s">
        <v>244</v>
      </c>
      <c r="N44" s="28">
        <v>43716</v>
      </c>
      <c r="O44" s="27" t="s">
        <v>245</v>
      </c>
      <c r="P44" s="28">
        <v>44080</v>
      </c>
      <c r="Q44" s="28" t="s">
        <v>246</v>
      </c>
      <c r="R44" s="28">
        <v>46628</v>
      </c>
      <c r="S44" s="28" t="s">
        <v>246</v>
      </c>
      <c r="T44" s="28" t="s">
        <v>166</v>
      </c>
      <c r="U44" s="36"/>
    </row>
    <row r="45" spans="1:21" s="34" customFormat="1" hidden="1" x14ac:dyDescent="0.25">
      <c r="A45" s="27" t="s">
        <v>31</v>
      </c>
      <c r="B45" s="27" t="s">
        <v>31</v>
      </c>
      <c r="C45" s="27" t="s">
        <v>70</v>
      </c>
      <c r="D45" s="27" t="s">
        <v>71</v>
      </c>
      <c r="E45" s="27" t="s">
        <v>58</v>
      </c>
      <c r="F45" s="28">
        <v>42283</v>
      </c>
      <c r="G45" s="28">
        <v>42284</v>
      </c>
      <c r="H45" s="28">
        <v>45956</v>
      </c>
      <c r="I45" s="28" t="s">
        <v>166</v>
      </c>
      <c r="J45" s="28" t="s">
        <v>202</v>
      </c>
      <c r="K45" s="28" t="s">
        <v>167</v>
      </c>
      <c r="L45" s="28">
        <v>42673</v>
      </c>
      <c r="M45" s="28" t="s">
        <v>168</v>
      </c>
      <c r="N45" s="28">
        <v>43037</v>
      </c>
      <c r="O45" s="27" t="s">
        <v>169</v>
      </c>
      <c r="P45" s="28">
        <v>43408</v>
      </c>
      <c r="Q45" s="28" t="s">
        <v>203</v>
      </c>
      <c r="R45" s="28">
        <v>45956</v>
      </c>
      <c r="S45" s="28" t="s">
        <v>203</v>
      </c>
      <c r="T45" s="28" t="s">
        <v>166</v>
      </c>
      <c r="U45" s="36"/>
    </row>
    <row r="46" spans="1:21" s="34" customFormat="1" hidden="1" x14ac:dyDescent="0.25">
      <c r="A46" s="27" t="s">
        <v>32</v>
      </c>
      <c r="B46" s="27" t="s">
        <v>32</v>
      </c>
      <c r="C46" s="27" t="s">
        <v>85</v>
      </c>
      <c r="D46" s="27" t="s">
        <v>86</v>
      </c>
      <c r="E46" s="27" t="s">
        <v>58</v>
      </c>
      <c r="F46" s="28">
        <v>42322</v>
      </c>
      <c r="G46" s="28">
        <v>42323</v>
      </c>
      <c r="H46" s="28">
        <v>45984</v>
      </c>
      <c r="I46" s="28" t="s">
        <v>166</v>
      </c>
      <c r="J46" s="28" t="s">
        <v>204</v>
      </c>
      <c r="K46" s="28" t="s">
        <v>205</v>
      </c>
      <c r="L46" s="28">
        <v>42701</v>
      </c>
      <c r="M46" s="28" t="s">
        <v>206</v>
      </c>
      <c r="N46" s="28">
        <v>43065</v>
      </c>
      <c r="O46" s="27" t="s">
        <v>207</v>
      </c>
      <c r="P46" s="28">
        <v>43436</v>
      </c>
      <c r="Q46" s="28" t="s">
        <v>208</v>
      </c>
      <c r="R46" s="28">
        <v>45984</v>
      </c>
      <c r="S46" s="28" t="s">
        <v>208</v>
      </c>
      <c r="T46" s="28" t="s">
        <v>166</v>
      </c>
      <c r="U46" s="36"/>
    </row>
    <row r="47" spans="1:21" s="34" customFormat="1" hidden="1" x14ac:dyDescent="0.25">
      <c r="A47" s="27" t="s">
        <v>263</v>
      </c>
      <c r="B47" s="27" t="s">
        <v>263</v>
      </c>
      <c r="C47" s="27" t="s">
        <v>551</v>
      </c>
      <c r="D47" s="235" t="s">
        <v>545</v>
      </c>
      <c r="E47" s="48" t="s">
        <v>93</v>
      </c>
      <c r="F47" s="28">
        <v>42160.291666666664</v>
      </c>
      <c r="G47" s="28">
        <v>42161.291666666664</v>
      </c>
      <c r="H47" s="28">
        <v>45816</v>
      </c>
      <c r="I47" s="28" t="s">
        <v>166</v>
      </c>
      <c r="J47" s="28" t="s">
        <v>247</v>
      </c>
      <c r="K47" s="28" t="s">
        <v>248</v>
      </c>
      <c r="L47" s="28">
        <v>42533</v>
      </c>
      <c r="M47" s="28" t="s">
        <v>172</v>
      </c>
      <c r="N47" s="28">
        <v>42897</v>
      </c>
      <c r="O47" s="27" t="s">
        <v>173</v>
      </c>
      <c r="P47" s="28">
        <v>43268</v>
      </c>
      <c r="Q47" s="28" t="s">
        <v>249</v>
      </c>
      <c r="R47" s="28">
        <v>45816</v>
      </c>
      <c r="S47" s="28" t="s">
        <v>249</v>
      </c>
      <c r="T47" s="28" t="s">
        <v>166</v>
      </c>
      <c r="U47" s="36"/>
    </row>
    <row r="48" spans="1:21" s="34" customFormat="1" hidden="1" x14ac:dyDescent="0.25">
      <c r="A48" s="27" t="s">
        <v>266</v>
      </c>
      <c r="B48" s="27" t="s">
        <v>265</v>
      </c>
      <c r="C48" s="27" t="s">
        <v>57</v>
      </c>
      <c r="D48" s="27" t="s">
        <v>59</v>
      </c>
      <c r="E48" s="27" t="s">
        <v>93</v>
      </c>
      <c r="F48" s="28">
        <v>42968</v>
      </c>
      <c r="G48" s="28">
        <v>42969</v>
      </c>
      <c r="H48" s="28">
        <v>46628</v>
      </c>
      <c r="I48" s="28"/>
      <c r="J48" s="28" t="s">
        <v>229</v>
      </c>
      <c r="K48" s="28" t="s">
        <v>230</v>
      </c>
      <c r="L48" s="28"/>
      <c r="M48" s="28" t="s">
        <v>244</v>
      </c>
      <c r="N48" s="28"/>
      <c r="O48" s="27" t="s">
        <v>245</v>
      </c>
      <c r="P48" s="28"/>
      <c r="Q48" s="28" t="s">
        <v>246</v>
      </c>
      <c r="R48" s="28">
        <v>46628</v>
      </c>
      <c r="S48" s="28" t="s">
        <v>246</v>
      </c>
      <c r="T48" s="28" t="s">
        <v>166</v>
      </c>
      <c r="U48" s="36"/>
    </row>
    <row r="49" spans="1:21" s="34" customFormat="1" hidden="1" x14ac:dyDescent="0.25">
      <c r="A49" s="27" t="s">
        <v>138</v>
      </c>
      <c r="B49" s="27" t="s">
        <v>138</v>
      </c>
      <c r="C49" s="27" t="s">
        <v>261</v>
      </c>
      <c r="D49" s="27" t="s">
        <v>106</v>
      </c>
      <c r="E49" s="27" t="s">
        <v>93</v>
      </c>
      <c r="F49" s="28">
        <v>42928</v>
      </c>
      <c r="G49" s="28">
        <v>42929</v>
      </c>
      <c r="H49" s="28">
        <v>46600</v>
      </c>
      <c r="I49" s="28">
        <v>43011</v>
      </c>
      <c r="J49" s="28" t="s">
        <v>193</v>
      </c>
      <c r="K49" s="28" t="s">
        <v>166</v>
      </c>
      <c r="L49" s="28" t="s">
        <v>166</v>
      </c>
      <c r="M49" s="28" t="s">
        <v>166</v>
      </c>
      <c r="N49" s="28" t="s">
        <v>166</v>
      </c>
      <c r="O49" s="27" t="s">
        <v>166</v>
      </c>
      <c r="P49" s="28" t="s">
        <v>166</v>
      </c>
      <c r="Q49" s="28" t="s">
        <v>194</v>
      </c>
      <c r="R49" s="28">
        <v>46600</v>
      </c>
      <c r="S49" s="28" t="s">
        <v>194</v>
      </c>
      <c r="T49" s="28" t="s">
        <v>166</v>
      </c>
      <c r="U49" s="36"/>
    </row>
    <row r="50" spans="1:21" s="34" customFormat="1" hidden="1" x14ac:dyDescent="0.25">
      <c r="A50" s="74" t="s">
        <v>33</v>
      </c>
      <c r="B50" s="74" t="s">
        <v>33</v>
      </c>
      <c r="C50" s="74" t="s">
        <v>85</v>
      </c>
      <c r="D50" s="74" t="s">
        <v>86</v>
      </c>
      <c r="E50" s="74" t="s">
        <v>58</v>
      </c>
      <c r="F50" s="75">
        <v>42798</v>
      </c>
      <c r="G50" s="75">
        <v>42799</v>
      </c>
      <c r="H50" s="75">
        <v>46460</v>
      </c>
      <c r="I50" s="75" t="s">
        <v>166</v>
      </c>
      <c r="J50" s="75" t="s">
        <v>214</v>
      </c>
      <c r="K50" s="75" t="s">
        <v>215</v>
      </c>
      <c r="L50" s="75">
        <v>43184</v>
      </c>
      <c r="M50" s="75" t="s">
        <v>216</v>
      </c>
      <c r="N50" s="75">
        <v>43548</v>
      </c>
      <c r="O50" s="74" t="s">
        <v>250</v>
      </c>
      <c r="P50" s="75">
        <v>43912</v>
      </c>
      <c r="Q50" s="75" t="s">
        <v>251</v>
      </c>
      <c r="R50" s="75">
        <v>46460</v>
      </c>
      <c r="S50" s="75" t="s">
        <v>251</v>
      </c>
      <c r="T50" s="75" t="s">
        <v>166</v>
      </c>
      <c r="U50" s="36" t="s">
        <v>393</v>
      </c>
    </row>
    <row r="51" spans="1:21" s="34" customFormat="1" hidden="1" x14ac:dyDescent="0.25">
      <c r="A51" s="27" t="s">
        <v>34</v>
      </c>
      <c r="B51" s="27" t="s">
        <v>34</v>
      </c>
      <c r="C51" s="27" t="s">
        <v>65</v>
      </c>
      <c r="D51" s="27" t="s">
        <v>66</v>
      </c>
      <c r="E51" s="27" t="s">
        <v>58</v>
      </c>
      <c r="F51" s="28">
        <v>42707</v>
      </c>
      <c r="G51" s="28">
        <v>42708</v>
      </c>
      <c r="H51" s="28">
        <v>46376</v>
      </c>
      <c r="I51" s="28" t="s">
        <v>166</v>
      </c>
      <c r="J51" s="28" t="s">
        <v>180</v>
      </c>
      <c r="K51" s="28" t="s">
        <v>181</v>
      </c>
      <c r="L51" s="28">
        <v>43100</v>
      </c>
      <c r="M51" s="28" t="s">
        <v>182</v>
      </c>
      <c r="N51" s="28">
        <v>43464</v>
      </c>
      <c r="O51" s="27" t="s">
        <v>252</v>
      </c>
      <c r="P51" s="28">
        <v>43828</v>
      </c>
      <c r="Q51" s="28" t="s">
        <v>195</v>
      </c>
      <c r="R51" s="28">
        <v>46376</v>
      </c>
      <c r="S51" s="28" t="s">
        <v>195</v>
      </c>
      <c r="T51" s="28" t="s">
        <v>166</v>
      </c>
      <c r="U51" s="36"/>
    </row>
    <row r="52" spans="1:21" s="34" customFormat="1" hidden="1" x14ac:dyDescent="0.25">
      <c r="A52" s="27" t="s">
        <v>275</v>
      </c>
      <c r="B52" s="27" t="s">
        <v>275</v>
      </c>
      <c r="C52" s="27" t="s">
        <v>260</v>
      </c>
      <c r="D52" s="27" t="s">
        <v>106</v>
      </c>
      <c r="E52" s="27" t="s">
        <v>93</v>
      </c>
      <c r="F52" s="28">
        <v>42711</v>
      </c>
      <c r="G52" s="28">
        <v>42712</v>
      </c>
      <c r="H52" s="28">
        <v>46376</v>
      </c>
      <c r="I52" s="28">
        <v>42794</v>
      </c>
      <c r="J52" s="28" t="s">
        <v>180</v>
      </c>
      <c r="K52" s="28" t="s">
        <v>166</v>
      </c>
      <c r="L52" s="28" t="s">
        <v>166</v>
      </c>
      <c r="M52" s="28" t="s">
        <v>166</v>
      </c>
      <c r="N52" s="28" t="s">
        <v>166</v>
      </c>
      <c r="O52" s="27" t="s">
        <v>166</v>
      </c>
      <c r="P52" s="28" t="s">
        <v>166</v>
      </c>
      <c r="Q52" s="28" t="s">
        <v>195</v>
      </c>
      <c r="R52" s="28">
        <v>46376</v>
      </c>
      <c r="S52" s="28" t="s">
        <v>195</v>
      </c>
      <c r="T52" s="28" t="s">
        <v>166</v>
      </c>
      <c r="U52" s="36"/>
    </row>
    <row r="53" spans="1:21" s="34" customFormat="1" hidden="1" x14ac:dyDescent="0.25">
      <c r="A53" s="27" t="s">
        <v>137</v>
      </c>
      <c r="B53" s="27" t="s">
        <v>164</v>
      </c>
      <c r="C53" s="27" t="s">
        <v>92</v>
      </c>
      <c r="D53" s="27" t="s">
        <v>94</v>
      </c>
      <c r="E53" s="27" t="s">
        <v>93</v>
      </c>
      <c r="F53" s="28">
        <v>42914</v>
      </c>
      <c r="G53" s="28">
        <v>42915</v>
      </c>
      <c r="H53" s="28">
        <v>46572</v>
      </c>
      <c r="I53" s="28">
        <v>42997</v>
      </c>
      <c r="J53" s="28" t="s">
        <v>198</v>
      </c>
      <c r="K53" s="28" t="s">
        <v>166</v>
      </c>
      <c r="L53" s="28" t="s">
        <v>166</v>
      </c>
      <c r="M53" s="28" t="s">
        <v>166</v>
      </c>
      <c r="N53" s="28" t="s">
        <v>166</v>
      </c>
      <c r="O53" s="27" t="s">
        <v>166</v>
      </c>
      <c r="P53" s="28" t="s">
        <v>166</v>
      </c>
      <c r="Q53" s="28" t="s">
        <v>199</v>
      </c>
      <c r="R53" s="28">
        <v>46572</v>
      </c>
      <c r="S53" s="28" t="s">
        <v>199</v>
      </c>
      <c r="T53" s="28" t="s">
        <v>166</v>
      </c>
      <c r="U53" s="36"/>
    </row>
    <row r="54" spans="1:21" s="34" customFormat="1" hidden="1" x14ac:dyDescent="0.25">
      <c r="A54" s="27" t="s">
        <v>41</v>
      </c>
      <c r="B54" s="27" t="s">
        <v>41</v>
      </c>
      <c r="C54" s="27" t="s">
        <v>70</v>
      </c>
      <c r="D54" s="27" t="s">
        <v>71</v>
      </c>
      <c r="E54" s="27" t="s">
        <v>58</v>
      </c>
      <c r="F54" s="28">
        <v>42856</v>
      </c>
      <c r="G54" s="28">
        <v>42857</v>
      </c>
      <c r="H54" s="28">
        <v>46516</v>
      </c>
      <c r="I54" s="28" t="s">
        <v>166</v>
      </c>
      <c r="J54" s="28" t="s">
        <v>177</v>
      </c>
      <c r="K54" s="28" t="s">
        <v>242</v>
      </c>
      <c r="L54" s="28">
        <v>43240</v>
      </c>
      <c r="M54" s="28" t="s">
        <v>253</v>
      </c>
      <c r="N54" s="28">
        <v>43604</v>
      </c>
      <c r="O54" s="27" t="s">
        <v>254</v>
      </c>
      <c r="P54" s="28">
        <v>43968</v>
      </c>
      <c r="Q54" s="28" t="s">
        <v>178</v>
      </c>
      <c r="R54" s="28">
        <v>46516</v>
      </c>
      <c r="S54" s="28" t="s">
        <v>178</v>
      </c>
      <c r="T54" s="28" t="s">
        <v>166</v>
      </c>
      <c r="U54" s="36"/>
    </row>
    <row r="55" spans="1:21" s="34" customFormat="1" hidden="1" x14ac:dyDescent="0.25">
      <c r="A55" s="27" t="s">
        <v>35</v>
      </c>
      <c r="B55" s="27" t="s">
        <v>161</v>
      </c>
      <c r="C55" s="27" t="s">
        <v>92</v>
      </c>
      <c r="D55" s="27" t="s">
        <v>94</v>
      </c>
      <c r="E55" s="27" t="s">
        <v>93</v>
      </c>
      <c r="F55" s="28">
        <v>42718</v>
      </c>
      <c r="G55" s="28">
        <v>42719</v>
      </c>
      <c r="H55" s="28">
        <v>46376</v>
      </c>
      <c r="I55" s="28">
        <v>42801</v>
      </c>
      <c r="J55" s="28" t="s">
        <v>180</v>
      </c>
      <c r="K55" s="28" t="s">
        <v>166</v>
      </c>
      <c r="L55" s="28" t="s">
        <v>166</v>
      </c>
      <c r="M55" s="28" t="s">
        <v>166</v>
      </c>
      <c r="N55" s="28" t="s">
        <v>166</v>
      </c>
      <c r="O55" s="27" t="s">
        <v>166</v>
      </c>
      <c r="P55" s="28" t="s">
        <v>166</v>
      </c>
      <c r="Q55" s="28" t="s">
        <v>195</v>
      </c>
      <c r="R55" s="28">
        <v>46376</v>
      </c>
      <c r="S55" s="28" t="s">
        <v>195</v>
      </c>
      <c r="T55" s="28" t="s">
        <v>166</v>
      </c>
      <c r="U55" s="36"/>
    </row>
    <row r="56" spans="1:21" s="34" customFormat="1" hidden="1" x14ac:dyDescent="0.25">
      <c r="A56" s="27" t="s">
        <v>258</v>
      </c>
      <c r="B56" s="27" t="s">
        <v>258</v>
      </c>
      <c r="C56" s="27" t="s">
        <v>57</v>
      </c>
      <c r="D56" s="27" t="s">
        <v>59</v>
      </c>
      <c r="E56" s="27" t="s">
        <v>93</v>
      </c>
      <c r="F56" s="28">
        <v>42961</v>
      </c>
      <c r="G56" s="28">
        <v>42962</v>
      </c>
      <c r="H56" s="28">
        <v>46628</v>
      </c>
      <c r="I56" s="28"/>
      <c r="J56" s="28" t="s">
        <v>229</v>
      </c>
      <c r="K56" s="28" t="s">
        <v>230</v>
      </c>
      <c r="L56" s="28"/>
      <c r="M56" s="28" t="s">
        <v>244</v>
      </c>
      <c r="N56" s="28"/>
      <c r="O56" s="27" t="s">
        <v>245</v>
      </c>
      <c r="P56" s="28"/>
      <c r="Q56" s="28" t="s">
        <v>246</v>
      </c>
      <c r="R56" s="28">
        <v>46628</v>
      </c>
      <c r="S56" s="28" t="s">
        <v>246</v>
      </c>
      <c r="T56" s="28" t="s">
        <v>166</v>
      </c>
      <c r="U56" s="36"/>
    </row>
    <row r="57" spans="1:21" s="34" customFormat="1" hidden="1" x14ac:dyDescent="0.25">
      <c r="A57" s="27" t="s">
        <v>36</v>
      </c>
      <c r="B57" s="27" t="s">
        <v>36</v>
      </c>
      <c r="C57" s="27" t="s">
        <v>65</v>
      </c>
      <c r="D57" s="27" t="s">
        <v>66</v>
      </c>
      <c r="E57" s="27" t="s">
        <v>58</v>
      </c>
      <c r="F57" s="28">
        <v>42599</v>
      </c>
      <c r="G57" s="28">
        <v>42600</v>
      </c>
      <c r="H57" s="28">
        <v>46264</v>
      </c>
      <c r="I57" s="28" t="s">
        <v>166</v>
      </c>
      <c r="J57" s="28" t="s">
        <v>228</v>
      </c>
      <c r="K57" s="28" t="s">
        <v>229</v>
      </c>
      <c r="L57" s="28">
        <v>42981</v>
      </c>
      <c r="M57" s="28" t="s">
        <v>230</v>
      </c>
      <c r="N57" s="28">
        <v>43352</v>
      </c>
      <c r="O57" s="27" t="s">
        <v>244</v>
      </c>
      <c r="P57" s="28">
        <v>43716</v>
      </c>
      <c r="Q57" s="28" t="s">
        <v>255</v>
      </c>
      <c r="R57" s="28">
        <v>46264</v>
      </c>
      <c r="S57" s="28" t="s">
        <v>255</v>
      </c>
      <c r="T57" s="28" t="s">
        <v>166</v>
      </c>
      <c r="U57" s="36"/>
    </row>
    <row r="58" spans="1:21" s="34" customFormat="1" hidden="1" x14ac:dyDescent="0.25">
      <c r="A58" s="27" t="s">
        <v>37</v>
      </c>
      <c r="B58" s="27" t="s">
        <v>37</v>
      </c>
      <c r="C58" s="27" t="s">
        <v>85</v>
      </c>
      <c r="D58" s="27" t="s">
        <v>86</v>
      </c>
      <c r="E58" s="27" t="s">
        <v>58</v>
      </c>
      <c r="F58" s="28">
        <v>42350</v>
      </c>
      <c r="G58" s="28">
        <v>42351</v>
      </c>
      <c r="H58" s="28">
        <v>46012</v>
      </c>
      <c r="I58" s="28" t="s">
        <v>166</v>
      </c>
      <c r="J58" s="28" t="s">
        <v>179</v>
      </c>
      <c r="K58" s="28" t="s">
        <v>180</v>
      </c>
      <c r="L58" s="28">
        <v>42729</v>
      </c>
      <c r="M58" s="28" t="s">
        <v>181</v>
      </c>
      <c r="N58" s="28">
        <v>43100</v>
      </c>
      <c r="O58" s="27" t="s">
        <v>182</v>
      </c>
      <c r="P58" s="28">
        <v>43464</v>
      </c>
      <c r="Q58" s="28" t="s">
        <v>183</v>
      </c>
      <c r="R58" s="28">
        <v>46012</v>
      </c>
      <c r="S58" s="28" t="s">
        <v>183</v>
      </c>
      <c r="T58" s="28" t="s">
        <v>166</v>
      </c>
      <c r="U58" s="36"/>
    </row>
    <row r="59" spans="1:21" s="34" customFormat="1" hidden="1" x14ac:dyDescent="0.25">
      <c r="A59" s="27" t="s">
        <v>38</v>
      </c>
      <c r="B59" s="27" t="s">
        <v>38</v>
      </c>
      <c r="C59" s="27" t="s">
        <v>65</v>
      </c>
      <c r="D59" s="27" t="s">
        <v>66</v>
      </c>
      <c r="E59" s="27" t="s">
        <v>58</v>
      </c>
      <c r="F59" s="28">
        <v>42549</v>
      </c>
      <c r="G59" s="28">
        <v>42550</v>
      </c>
      <c r="H59" s="28">
        <v>46208</v>
      </c>
      <c r="I59" s="28" t="s">
        <v>166</v>
      </c>
      <c r="J59" s="28" t="s">
        <v>219</v>
      </c>
      <c r="K59" s="28" t="s">
        <v>198</v>
      </c>
      <c r="L59" s="28">
        <v>42925</v>
      </c>
      <c r="M59" s="28" t="s">
        <v>220</v>
      </c>
      <c r="N59" s="28">
        <v>43296</v>
      </c>
      <c r="O59" s="27" t="s">
        <v>222</v>
      </c>
      <c r="P59" s="28">
        <v>43660</v>
      </c>
      <c r="Q59" s="28" t="s">
        <v>256</v>
      </c>
      <c r="R59" s="28">
        <v>46208</v>
      </c>
      <c r="S59" s="28" t="s">
        <v>256</v>
      </c>
      <c r="T59" s="28" t="s">
        <v>166</v>
      </c>
      <c r="U59" s="36"/>
    </row>
    <row r="60" spans="1:21" s="34" customFormat="1" hidden="1" x14ac:dyDescent="0.25">
      <c r="A60" s="27" t="s">
        <v>39</v>
      </c>
      <c r="B60" s="27" t="s">
        <v>39</v>
      </c>
      <c r="C60" s="27" t="s">
        <v>552</v>
      </c>
      <c r="D60" s="235" t="s">
        <v>545</v>
      </c>
      <c r="E60" s="48" t="s">
        <v>93</v>
      </c>
      <c r="F60" s="28">
        <v>42793</v>
      </c>
      <c r="G60" s="28">
        <v>42794</v>
      </c>
      <c r="H60" s="28">
        <v>46460</v>
      </c>
      <c r="I60" s="28" t="s">
        <v>166</v>
      </c>
      <c r="J60" s="28" t="s">
        <v>214</v>
      </c>
      <c r="K60" s="28" t="s">
        <v>215</v>
      </c>
      <c r="L60" s="28">
        <v>43184</v>
      </c>
      <c r="M60" s="28" t="s">
        <v>216</v>
      </c>
      <c r="N60" s="28">
        <v>43548</v>
      </c>
      <c r="O60" s="27" t="s">
        <v>250</v>
      </c>
      <c r="P60" s="28">
        <v>43912</v>
      </c>
      <c r="Q60" s="28" t="s">
        <v>251</v>
      </c>
      <c r="R60" s="28">
        <v>46460</v>
      </c>
      <c r="S60" s="28" t="s">
        <v>251</v>
      </c>
      <c r="T60" s="28" t="s">
        <v>166</v>
      </c>
      <c r="U60" s="36"/>
    </row>
    <row r="61" spans="1:21" s="34" customFormat="1" hidden="1" x14ac:dyDescent="0.25">
      <c r="A61" s="74" t="s">
        <v>276</v>
      </c>
      <c r="B61" s="74" t="s">
        <v>278</v>
      </c>
      <c r="C61" s="74" t="s">
        <v>92</v>
      </c>
      <c r="D61" s="74" t="s">
        <v>94</v>
      </c>
      <c r="E61" s="74" t="s">
        <v>93</v>
      </c>
      <c r="F61" s="75">
        <v>42998</v>
      </c>
      <c r="G61" s="75">
        <v>42999</v>
      </c>
      <c r="H61" s="75">
        <v>46656</v>
      </c>
      <c r="I61" s="75">
        <v>43081</v>
      </c>
      <c r="J61" s="75" t="s">
        <v>224</v>
      </c>
      <c r="K61" s="75" t="s">
        <v>166</v>
      </c>
      <c r="L61" s="75" t="s">
        <v>166</v>
      </c>
      <c r="M61" s="75" t="s">
        <v>166</v>
      </c>
      <c r="N61" s="75" t="s">
        <v>166</v>
      </c>
      <c r="O61" s="74" t="s">
        <v>166</v>
      </c>
      <c r="P61" s="75" t="s">
        <v>166</v>
      </c>
      <c r="Q61" s="75" t="s">
        <v>279</v>
      </c>
      <c r="R61" s="75">
        <v>46656</v>
      </c>
      <c r="S61" s="75" t="s">
        <v>279</v>
      </c>
      <c r="T61" s="75" t="s">
        <v>166</v>
      </c>
      <c r="U61" s="36" t="s">
        <v>416</v>
      </c>
    </row>
    <row r="62" spans="1:21" s="34" customFormat="1" hidden="1" x14ac:dyDescent="0.25">
      <c r="A62" s="27" t="s">
        <v>277</v>
      </c>
      <c r="B62" s="27" t="s">
        <v>277</v>
      </c>
      <c r="C62" s="27" t="s">
        <v>261</v>
      </c>
      <c r="D62" s="27" t="s">
        <v>106</v>
      </c>
      <c r="E62" s="27" t="s">
        <v>93</v>
      </c>
      <c r="F62" s="28">
        <v>42998</v>
      </c>
      <c r="G62" s="28">
        <v>42999</v>
      </c>
      <c r="H62" s="28">
        <v>46656</v>
      </c>
      <c r="I62" s="28">
        <v>43081</v>
      </c>
      <c r="J62" s="28" t="s">
        <v>224</v>
      </c>
      <c r="K62" s="28" t="s">
        <v>166</v>
      </c>
      <c r="L62" s="28" t="s">
        <v>166</v>
      </c>
      <c r="M62" s="28" t="s">
        <v>166</v>
      </c>
      <c r="N62" s="28" t="s">
        <v>166</v>
      </c>
      <c r="O62" s="27" t="s">
        <v>166</v>
      </c>
      <c r="P62" s="28" t="s">
        <v>166</v>
      </c>
      <c r="Q62" s="28" t="s">
        <v>279</v>
      </c>
      <c r="R62" s="28">
        <v>46656</v>
      </c>
      <c r="S62" s="28" t="s">
        <v>279</v>
      </c>
      <c r="T62" s="28" t="s">
        <v>166</v>
      </c>
      <c r="U62" s="36"/>
    </row>
    <row r="63" spans="1:21" s="144" customFormat="1" hidden="1" x14ac:dyDescent="0.25">
      <c r="A63" s="27" t="s">
        <v>280</v>
      </c>
      <c r="B63" s="27" t="s">
        <v>280</v>
      </c>
      <c r="C63" s="27" t="s">
        <v>57</v>
      </c>
      <c r="D63" s="27" t="s">
        <v>59</v>
      </c>
      <c r="E63" s="27" t="s">
        <v>93</v>
      </c>
      <c r="F63" s="28">
        <v>43010</v>
      </c>
      <c r="G63" s="28">
        <v>43011</v>
      </c>
      <c r="H63" s="28">
        <v>46684</v>
      </c>
      <c r="I63" s="28">
        <v>43093</v>
      </c>
      <c r="J63" s="28" t="s">
        <v>168</v>
      </c>
      <c r="K63" s="28" t="s">
        <v>166</v>
      </c>
      <c r="L63" s="28" t="s">
        <v>166</v>
      </c>
      <c r="M63" s="28" t="s">
        <v>166</v>
      </c>
      <c r="N63" s="28" t="s">
        <v>166</v>
      </c>
      <c r="O63" s="27" t="s">
        <v>166</v>
      </c>
      <c r="P63" s="28" t="s">
        <v>166</v>
      </c>
      <c r="Q63" s="28" t="s">
        <v>283</v>
      </c>
      <c r="R63" s="28">
        <v>46684</v>
      </c>
      <c r="S63" s="28" t="s">
        <v>283</v>
      </c>
      <c r="T63" s="28" t="s">
        <v>166</v>
      </c>
      <c r="U63" s="104"/>
    </row>
    <row r="64" spans="1:21" s="144" customFormat="1" hidden="1" x14ac:dyDescent="0.25">
      <c r="A64" s="27" t="s">
        <v>281</v>
      </c>
      <c r="B64" s="27" t="s">
        <v>281</v>
      </c>
      <c r="C64" s="248" t="s">
        <v>596</v>
      </c>
      <c r="D64" s="239" t="s">
        <v>567</v>
      </c>
      <c r="E64" s="27" t="s">
        <v>93</v>
      </c>
      <c r="F64" s="28">
        <v>43010</v>
      </c>
      <c r="G64" s="28">
        <v>43011</v>
      </c>
      <c r="H64" s="28">
        <v>46684</v>
      </c>
      <c r="I64" s="28">
        <v>43093</v>
      </c>
      <c r="J64" s="28" t="s">
        <v>168</v>
      </c>
      <c r="K64" s="28" t="s">
        <v>166</v>
      </c>
      <c r="L64" s="28" t="s">
        <v>166</v>
      </c>
      <c r="M64" s="28" t="s">
        <v>166</v>
      </c>
      <c r="N64" s="28" t="s">
        <v>166</v>
      </c>
      <c r="O64" s="27" t="s">
        <v>166</v>
      </c>
      <c r="P64" s="28" t="s">
        <v>166</v>
      </c>
      <c r="Q64" s="28" t="s">
        <v>283</v>
      </c>
      <c r="R64" s="28">
        <v>46684</v>
      </c>
      <c r="S64" s="28" t="s">
        <v>283</v>
      </c>
      <c r="T64" s="28" t="s">
        <v>166</v>
      </c>
      <c r="U64" s="104"/>
    </row>
    <row r="65" spans="1:21" s="144" customFormat="1" hidden="1" x14ac:dyDescent="0.25">
      <c r="A65" s="27" t="s">
        <v>282</v>
      </c>
      <c r="B65" s="27" t="s">
        <v>282</v>
      </c>
      <c r="C65" s="27" t="s">
        <v>260</v>
      </c>
      <c r="D65" s="27" t="s">
        <v>106</v>
      </c>
      <c r="E65" s="27" t="s">
        <v>93</v>
      </c>
      <c r="F65" s="28">
        <v>43012</v>
      </c>
      <c r="G65" s="28">
        <v>43013</v>
      </c>
      <c r="H65" s="28">
        <v>46684</v>
      </c>
      <c r="I65" s="28">
        <v>43095</v>
      </c>
      <c r="J65" s="28" t="s">
        <v>168</v>
      </c>
      <c r="K65" s="28" t="s">
        <v>166</v>
      </c>
      <c r="L65" s="28" t="s">
        <v>166</v>
      </c>
      <c r="M65" s="28" t="s">
        <v>166</v>
      </c>
      <c r="N65" s="28" t="s">
        <v>166</v>
      </c>
      <c r="O65" s="27" t="s">
        <v>166</v>
      </c>
      <c r="P65" s="28" t="s">
        <v>166</v>
      </c>
      <c r="Q65" s="28" t="s">
        <v>283</v>
      </c>
      <c r="R65" s="28">
        <v>46684</v>
      </c>
      <c r="S65" s="28" t="s">
        <v>283</v>
      </c>
      <c r="T65" s="28" t="s">
        <v>166</v>
      </c>
      <c r="U65" s="104"/>
    </row>
    <row r="66" spans="1:21" s="34" customFormat="1" hidden="1" x14ac:dyDescent="0.25">
      <c r="A66" t="s">
        <v>284</v>
      </c>
      <c r="B66" t="s">
        <v>284</v>
      </c>
      <c r="C66" s="27" t="s">
        <v>57</v>
      </c>
      <c r="D66" s="27" t="s">
        <v>59</v>
      </c>
      <c r="E66" s="27" t="s">
        <v>93</v>
      </c>
      <c r="F66" s="28">
        <v>43031</v>
      </c>
      <c r="G66" s="28">
        <v>43032</v>
      </c>
      <c r="H66" s="28">
        <v>46684</v>
      </c>
      <c r="I66" s="28">
        <v>43114</v>
      </c>
      <c r="J66" s="28" t="s">
        <v>168</v>
      </c>
      <c r="K66" s="28" t="s">
        <v>166</v>
      </c>
      <c r="L66" s="28" t="s">
        <v>166</v>
      </c>
      <c r="M66" s="28" t="s">
        <v>166</v>
      </c>
      <c r="N66" s="28" t="s">
        <v>166</v>
      </c>
      <c r="O66" s="27" t="s">
        <v>166</v>
      </c>
      <c r="P66" s="28" t="s">
        <v>166</v>
      </c>
      <c r="Q66" s="28" t="s">
        <v>283</v>
      </c>
      <c r="R66" s="28">
        <v>46684</v>
      </c>
      <c r="S66" s="28" t="s">
        <v>283</v>
      </c>
      <c r="T66" s="28" t="s">
        <v>166</v>
      </c>
      <c r="U66" s="36"/>
    </row>
    <row r="67" spans="1:21" s="34" customFormat="1" hidden="1" x14ac:dyDescent="0.25">
      <c r="A67" s="19" t="s">
        <v>285</v>
      </c>
      <c r="B67" s="19" t="s">
        <v>285</v>
      </c>
      <c r="C67" s="109" t="s">
        <v>286</v>
      </c>
      <c r="D67" s="109" t="s">
        <v>100</v>
      </c>
      <c r="E67" s="109" t="s">
        <v>93</v>
      </c>
      <c r="F67" s="110">
        <v>43032</v>
      </c>
      <c r="G67" s="110">
        <v>43033</v>
      </c>
      <c r="H67" s="110">
        <v>46684</v>
      </c>
      <c r="I67" s="110"/>
      <c r="J67" s="28" t="s">
        <v>168</v>
      </c>
      <c r="K67" s="28" t="s">
        <v>169</v>
      </c>
      <c r="L67" s="110"/>
      <c r="M67" s="28" t="s">
        <v>170</v>
      </c>
      <c r="N67" s="110"/>
      <c r="O67" s="27" t="s">
        <v>287</v>
      </c>
      <c r="P67" s="110"/>
      <c r="Q67" s="28" t="s">
        <v>283</v>
      </c>
      <c r="R67" s="110">
        <v>46684</v>
      </c>
      <c r="S67" s="28" t="s">
        <v>283</v>
      </c>
      <c r="T67" s="110" t="s">
        <v>166</v>
      </c>
      <c r="U67" s="111" t="s">
        <v>425</v>
      </c>
    </row>
    <row r="68" spans="1:21" s="34" customFormat="1" hidden="1" x14ac:dyDescent="0.25">
      <c r="A68" t="s">
        <v>288</v>
      </c>
      <c r="B68" t="s">
        <v>288</v>
      </c>
      <c r="C68" t="s">
        <v>57</v>
      </c>
      <c r="D68" s="27" t="s">
        <v>59</v>
      </c>
      <c r="E68" s="27" t="s">
        <v>93</v>
      </c>
      <c r="F68" s="28">
        <v>43038</v>
      </c>
      <c r="G68" s="28">
        <v>43039</v>
      </c>
      <c r="H68" s="28">
        <v>46712</v>
      </c>
      <c r="I68" s="28">
        <v>43121</v>
      </c>
      <c r="J68" s="28" t="s">
        <v>206</v>
      </c>
      <c r="K68" s="28" t="s">
        <v>166</v>
      </c>
      <c r="L68" s="28" t="s">
        <v>166</v>
      </c>
      <c r="M68" s="28" t="s">
        <v>166</v>
      </c>
      <c r="N68" s="28" t="s">
        <v>166</v>
      </c>
      <c r="O68" s="27" t="s">
        <v>166</v>
      </c>
      <c r="P68" s="28" t="s">
        <v>166</v>
      </c>
      <c r="Q68" s="28" t="s">
        <v>289</v>
      </c>
      <c r="R68" s="28">
        <v>46712</v>
      </c>
      <c r="S68" s="28" t="s">
        <v>289</v>
      </c>
      <c r="T68" s="28" t="s">
        <v>166</v>
      </c>
      <c r="U68" s="36"/>
    </row>
    <row r="69" spans="1:21" s="34" customFormat="1" hidden="1" x14ac:dyDescent="0.25">
      <c r="A69" t="s">
        <v>290</v>
      </c>
      <c r="B69" t="s">
        <v>290</v>
      </c>
      <c r="C69" t="s">
        <v>57</v>
      </c>
      <c r="D69" s="27" t="s">
        <v>59</v>
      </c>
      <c r="E69" s="27" t="s">
        <v>93</v>
      </c>
      <c r="F69" s="28">
        <v>43055</v>
      </c>
      <c r="G69" s="28">
        <v>43056</v>
      </c>
      <c r="H69" s="28">
        <v>46712</v>
      </c>
      <c r="I69" s="28">
        <v>43138</v>
      </c>
      <c r="J69" s="28" t="s">
        <v>206</v>
      </c>
      <c r="K69" s="28" t="s">
        <v>166</v>
      </c>
      <c r="L69" s="28" t="s">
        <v>166</v>
      </c>
      <c r="M69" s="28" t="s">
        <v>166</v>
      </c>
      <c r="N69" s="28" t="s">
        <v>166</v>
      </c>
      <c r="O69" s="27" t="s">
        <v>166</v>
      </c>
      <c r="P69" s="28" t="s">
        <v>166</v>
      </c>
      <c r="Q69" s="28" t="s">
        <v>289</v>
      </c>
      <c r="R69" s="28">
        <v>46712</v>
      </c>
      <c r="S69" s="28" t="s">
        <v>289</v>
      </c>
      <c r="T69" s="28" t="s">
        <v>166</v>
      </c>
      <c r="U69" s="36"/>
    </row>
    <row r="70" spans="1:21" s="34" customFormat="1" hidden="1" x14ac:dyDescent="0.25">
      <c r="A70" t="s">
        <v>291</v>
      </c>
      <c r="B70" t="s">
        <v>291</v>
      </c>
      <c r="C70" t="s">
        <v>261</v>
      </c>
      <c r="D70" s="27" t="s">
        <v>106</v>
      </c>
      <c r="E70" s="27" t="s">
        <v>93</v>
      </c>
      <c r="F70" s="28">
        <v>43055</v>
      </c>
      <c r="G70" s="28">
        <v>43056</v>
      </c>
      <c r="H70" s="28">
        <v>46712</v>
      </c>
      <c r="I70" s="28">
        <v>43138</v>
      </c>
      <c r="J70" s="28" t="s">
        <v>206</v>
      </c>
      <c r="K70" s="28" t="s">
        <v>166</v>
      </c>
      <c r="L70" s="28" t="s">
        <v>166</v>
      </c>
      <c r="M70" s="28" t="s">
        <v>166</v>
      </c>
      <c r="N70" s="28" t="s">
        <v>166</v>
      </c>
      <c r="O70" s="27" t="s">
        <v>166</v>
      </c>
      <c r="P70" s="28" t="s">
        <v>166</v>
      </c>
      <c r="Q70" s="28" t="s">
        <v>289</v>
      </c>
      <c r="R70" s="28">
        <v>46712</v>
      </c>
      <c r="S70" s="28" t="s">
        <v>289</v>
      </c>
      <c r="T70" s="28" t="s">
        <v>166</v>
      </c>
      <c r="U70" s="36"/>
    </row>
    <row r="71" spans="1:21" s="34" customFormat="1" hidden="1" x14ac:dyDescent="0.25">
      <c r="A71" t="s">
        <v>294</v>
      </c>
      <c r="B71" t="s">
        <v>294</v>
      </c>
      <c r="C71" t="s">
        <v>85</v>
      </c>
      <c r="D71" s="27" t="s">
        <v>86</v>
      </c>
      <c r="E71" s="27" t="s">
        <v>58</v>
      </c>
      <c r="F71" s="28">
        <v>43056</v>
      </c>
      <c r="G71" s="28">
        <v>43057</v>
      </c>
      <c r="H71" s="28">
        <v>46712</v>
      </c>
      <c r="I71" s="28" t="s">
        <v>166</v>
      </c>
      <c r="J71" s="28" t="s">
        <v>206</v>
      </c>
      <c r="K71" s="28" t="s">
        <v>207</v>
      </c>
      <c r="L71" s="28">
        <v>43436</v>
      </c>
      <c r="M71" s="28" t="s">
        <v>292</v>
      </c>
      <c r="N71" s="28">
        <v>43800</v>
      </c>
      <c r="O71" s="27" t="s">
        <v>293</v>
      </c>
      <c r="P71" s="28">
        <v>44164</v>
      </c>
      <c r="Q71" s="28" t="s">
        <v>289</v>
      </c>
      <c r="R71" s="28">
        <v>46712</v>
      </c>
      <c r="S71" s="28" t="s">
        <v>289</v>
      </c>
      <c r="T71" s="28" t="s">
        <v>166</v>
      </c>
      <c r="U71" s="36"/>
    </row>
    <row r="72" spans="1:21" s="34" customFormat="1" hidden="1" x14ac:dyDescent="0.25">
      <c r="A72" t="s">
        <v>295</v>
      </c>
      <c r="B72" t="s">
        <v>295</v>
      </c>
      <c r="C72" t="s">
        <v>134</v>
      </c>
      <c r="D72" s="27" t="s">
        <v>111</v>
      </c>
      <c r="E72" s="27" t="s">
        <v>93</v>
      </c>
      <c r="F72" s="28">
        <v>43059</v>
      </c>
      <c r="G72" s="28">
        <v>43060</v>
      </c>
      <c r="H72" s="28">
        <v>46712</v>
      </c>
      <c r="I72" s="28">
        <v>43142</v>
      </c>
      <c r="J72" s="28" t="s">
        <v>206</v>
      </c>
      <c r="K72" s="28" t="s">
        <v>166</v>
      </c>
      <c r="L72" s="28" t="s">
        <v>166</v>
      </c>
      <c r="M72" s="28" t="s">
        <v>166</v>
      </c>
      <c r="N72" s="28" t="s">
        <v>166</v>
      </c>
      <c r="O72" s="27" t="s">
        <v>166</v>
      </c>
      <c r="P72" s="28" t="s">
        <v>166</v>
      </c>
      <c r="Q72" s="28" t="s">
        <v>289</v>
      </c>
      <c r="R72" s="28">
        <v>46712</v>
      </c>
      <c r="S72" s="28" t="s">
        <v>289</v>
      </c>
      <c r="T72" s="28" t="s">
        <v>166</v>
      </c>
      <c r="U72" s="36"/>
    </row>
    <row r="73" spans="1:21" s="34" customFormat="1" hidden="1" x14ac:dyDescent="0.25">
      <c r="A73" t="s">
        <v>296</v>
      </c>
      <c r="B73" t="s">
        <v>296</v>
      </c>
      <c r="C73" t="s">
        <v>57</v>
      </c>
      <c r="D73" s="27" t="s">
        <v>59</v>
      </c>
      <c r="E73" s="27" t="s">
        <v>93</v>
      </c>
      <c r="F73" s="28">
        <v>43060</v>
      </c>
      <c r="G73" s="28">
        <v>43061</v>
      </c>
      <c r="H73" s="28">
        <v>46712</v>
      </c>
      <c r="I73" s="28">
        <v>43143</v>
      </c>
      <c r="J73" s="28" t="s">
        <v>206</v>
      </c>
      <c r="K73" s="28" t="s">
        <v>166</v>
      </c>
      <c r="L73" s="28" t="s">
        <v>166</v>
      </c>
      <c r="M73" s="28" t="s">
        <v>166</v>
      </c>
      <c r="N73" s="28" t="s">
        <v>166</v>
      </c>
      <c r="O73" s="27" t="s">
        <v>166</v>
      </c>
      <c r="P73" s="28" t="s">
        <v>166</v>
      </c>
      <c r="Q73" s="28" t="s">
        <v>289</v>
      </c>
      <c r="R73" s="28">
        <v>46712</v>
      </c>
      <c r="S73" s="28" t="s">
        <v>289</v>
      </c>
      <c r="T73" s="28" t="s">
        <v>166</v>
      </c>
      <c r="U73" s="36"/>
    </row>
    <row r="74" spans="1:21" s="34" customFormat="1" hidden="1" x14ac:dyDescent="0.25">
      <c r="A74" s="7" t="s">
        <v>297</v>
      </c>
      <c r="B74" t="s">
        <v>298</v>
      </c>
      <c r="C74" t="s">
        <v>92</v>
      </c>
      <c r="D74" s="30" t="s">
        <v>94</v>
      </c>
      <c r="E74" s="30" t="s">
        <v>93</v>
      </c>
      <c r="F74" s="31">
        <v>43082</v>
      </c>
      <c r="G74" s="31">
        <v>43083</v>
      </c>
      <c r="H74" s="31">
        <v>46740</v>
      </c>
      <c r="I74" s="31">
        <v>43165</v>
      </c>
      <c r="J74" s="31" t="s">
        <v>181</v>
      </c>
      <c r="K74" s="31" t="s">
        <v>166</v>
      </c>
      <c r="L74" s="31" t="s">
        <v>166</v>
      </c>
      <c r="M74" s="31" t="s">
        <v>166</v>
      </c>
      <c r="N74" s="31" t="s">
        <v>166</v>
      </c>
      <c r="O74" s="30" t="s">
        <v>166</v>
      </c>
      <c r="P74" s="31" t="s">
        <v>166</v>
      </c>
      <c r="Q74" s="31" t="s">
        <v>300</v>
      </c>
      <c r="R74" s="31">
        <v>46740</v>
      </c>
      <c r="S74" s="31" t="s">
        <v>300</v>
      </c>
      <c r="T74" s="31" t="s">
        <v>166</v>
      </c>
      <c r="U74" s="36"/>
    </row>
    <row r="75" spans="1:21" s="34" customFormat="1" hidden="1" x14ac:dyDescent="0.25">
      <c r="A75" s="7" t="s">
        <v>299</v>
      </c>
      <c r="B75" t="s">
        <v>299</v>
      </c>
      <c r="C75" t="s">
        <v>65</v>
      </c>
      <c r="D75" s="30" t="s">
        <v>66</v>
      </c>
      <c r="E75" s="30" t="s">
        <v>93</v>
      </c>
      <c r="F75" s="31">
        <v>43082</v>
      </c>
      <c r="G75" s="31">
        <v>43083</v>
      </c>
      <c r="H75" s="31">
        <v>46740</v>
      </c>
      <c r="I75" s="31">
        <v>43165</v>
      </c>
      <c r="J75" s="31" t="s">
        <v>181</v>
      </c>
      <c r="K75" s="31" t="s">
        <v>166</v>
      </c>
      <c r="L75" s="31" t="s">
        <v>166</v>
      </c>
      <c r="M75" s="31" t="s">
        <v>166</v>
      </c>
      <c r="N75" s="31" t="s">
        <v>166</v>
      </c>
      <c r="O75" s="30" t="s">
        <v>166</v>
      </c>
      <c r="P75" s="31" t="s">
        <v>166</v>
      </c>
      <c r="Q75" s="31" t="s">
        <v>300</v>
      </c>
      <c r="R75" s="31">
        <v>46740</v>
      </c>
      <c r="S75" s="31" t="s">
        <v>300</v>
      </c>
      <c r="T75" s="31" t="s">
        <v>166</v>
      </c>
      <c r="U75" s="36"/>
    </row>
    <row r="76" spans="1:21" s="34" customFormat="1" hidden="1" x14ac:dyDescent="0.25">
      <c r="A76" s="7" t="s">
        <v>463</v>
      </c>
      <c r="B76" t="s">
        <v>463</v>
      </c>
      <c r="C76" t="s">
        <v>286</v>
      </c>
      <c r="D76" s="32" t="s">
        <v>100</v>
      </c>
      <c r="E76" s="32" t="s">
        <v>93</v>
      </c>
      <c r="F76" s="33">
        <v>42614</v>
      </c>
      <c r="G76" s="33">
        <v>43088</v>
      </c>
      <c r="H76" s="33">
        <v>43088</v>
      </c>
      <c r="I76" s="33">
        <v>46740</v>
      </c>
      <c r="J76" s="33"/>
      <c r="K76" s="33"/>
      <c r="L76" s="33"/>
      <c r="M76" s="33"/>
      <c r="N76" s="33" t="s">
        <v>166</v>
      </c>
      <c r="O76" s="32"/>
      <c r="P76" s="33" t="s">
        <v>166</v>
      </c>
      <c r="Q76" s="33"/>
      <c r="R76" s="33" t="s">
        <v>166</v>
      </c>
      <c r="S76" s="33">
        <v>46740</v>
      </c>
      <c r="T76" s="33" t="s">
        <v>166</v>
      </c>
      <c r="U76" s="36" t="s">
        <v>166</v>
      </c>
    </row>
    <row r="77" spans="1:21" s="34" customFormat="1" hidden="1" x14ac:dyDescent="0.25">
      <c r="A77" s="7" t="s">
        <v>303</v>
      </c>
      <c r="B77" t="s">
        <v>303</v>
      </c>
      <c r="C77" t="s">
        <v>134</v>
      </c>
      <c r="D77" s="34" t="s">
        <v>111</v>
      </c>
      <c r="E77" s="35" t="s">
        <v>93</v>
      </c>
      <c r="F77" s="36">
        <v>43115</v>
      </c>
      <c r="G77" s="36">
        <v>43116</v>
      </c>
      <c r="H77" s="36">
        <v>46768</v>
      </c>
      <c r="I77" s="36">
        <v>43198</v>
      </c>
      <c r="J77" s="36" t="s">
        <v>185</v>
      </c>
      <c r="K77" s="36" t="s">
        <v>166</v>
      </c>
      <c r="L77" s="36" t="s">
        <v>166</v>
      </c>
      <c r="M77" s="36" t="s">
        <v>166</v>
      </c>
      <c r="N77" s="36" t="s">
        <v>166</v>
      </c>
      <c r="O77" s="34" t="s">
        <v>166</v>
      </c>
      <c r="P77" s="36" t="s">
        <v>166</v>
      </c>
      <c r="Q77" s="36" t="s">
        <v>304</v>
      </c>
      <c r="R77" s="36">
        <v>46768</v>
      </c>
      <c r="S77" s="36" t="s">
        <v>304</v>
      </c>
      <c r="T77" s="36" t="s">
        <v>166</v>
      </c>
      <c r="U77" s="36"/>
    </row>
    <row r="78" spans="1:21" s="144" customFormat="1" hidden="1" x14ac:dyDescent="0.25">
      <c r="A78" s="112" t="s">
        <v>305</v>
      </c>
      <c r="B78" s="19" t="s">
        <v>305</v>
      </c>
      <c r="C78" s="19" t="s">
        <v>286</v>
      </c>
      <c r="D78" s="113" t="s">
        <v>100</v>
      </c>
      <c r="E78" s="113" t="s">
        <v>93</v>
      </c>
      <c r="F78" s="114">
        <v>43137</v>
      </c>
      <c r="G78" s="114">
        <v>43138</v>
      </c>
      <c r="H78" s="114">
        <v>46796</v>
      </c>
      <c r="I78" s="114"/>
      <c r="J78" s="38" t="s">
        <v>210</v>
      </c>
      <c r="K78" s="38" t="s">
        <v>211</v>
      </c>
      <c r="L78" s="114"/>
      <c r="M78" s="38" t="s">
        <v>306</v>
      </c>
      <c r="N78" s="114"/>
      <c r="O78" s="37" t="s">
        <v>307</v>
      </c>
      <c r="P78" s="114"/>
      <c r="Q78" s="38" t="s">
        <v>308</v>
      </c>
      <c r="R78" s="114">
        <v>46796</v>
      </c>
      <c r="S78" s="38" t="s">
        <v>308</v>
      </c>
      <c r="T78" s="114" t="s">
        <v>166</v>
      </c>
      <c r="U78" s="111" t="s">
        <v>425</v>
      </c>
    </row>
    <row r="79" spans="1:21" s="34" customFormat="1" hidden="1" x14ac:dyDescent="0.25">
      <c r="A79" t="s">
        <v>309</v>
      </c>
      <c r="B79" t="s">
        <v>309</v>
      </c>
      <c r="C79" t="s">
        <v>70</v>
      </c>
      <c r="D79" s="37" t="s">
        <v>71</v>
      </c>
      <c r="E79" s="37" t="s">
        <v>93</v>
      </c>
      <c r="F79" s="38">
        <v>43143</v>
      </c>
      <c r="G79" s="38">
        <v>43144</v>
      </c>
      <c r="H79" s="38">
        <v>46796</v>
      </c>
      <c r="I79" s="38"/>
      <c r="J79" s="38" t="s">
        <v>210</v>
      </c>
      <c r="K79" s="38" t="s">
        <v>211</v>
      </c>
      <c r="L79" s="38"/>
      <c r="M79" s="38" t="s">
        <v>306</v>
      </c>
      <c r="N79" s="38"/>
      <c r="O79" s="37" t="s">
        <v>307</v>
      </c>
      <c r="P79" s="38"/>
      <c r="Q79" s="38" t="s">
        <v>308</v>
      </c>
      <c r="R79" s="38">
        <v>46796</v>
      </c>
      <c r="S79" s="38" t="s">
        <v>308</v>
      </c>
      <c r="T79" s="38" t="s">
        <v>166</v>
      </c>
      <c r="U79" s="36"/>
    </row>
    <row r="80" spans="1:21" s="144" customFormat="1" hidden="1" x14ac:dyDescent="0.25">
      <c r="A80" t="s">
        <v>310</v>
      </c>
      <c r="B80" t="s">
        <v>310</v>
      </c>
      <c r="C80" t="s">
        <v>65</v>
      </c>
      <c r="D80" s="44" t="s">
        <v>66</v>
      </c>
      <c r="E80" s="44" t="s">
        <v>93</v>
      </c>
      <c r="F80" s="45">
        <v>43159</v>
      </c>
      <c r="G80" s="45">
        <v>43160</v>
      </c>
      <c r="H80" s="45">
        <v>46824</v>
      </c>
      <c r="I80" s="45">
        <v>43242</v>
      </c>
      <c r="J80" s="45" t="s">
        <v>215</v>
      </c>
      <c r="K80" s="45" t="s">
        <v>166</v>
      </c>
      <c r="L80" s="45" t="s">
        <v>166</v>
      </c>
      <c r="M80" s="45" t="s">
        <v>166</v>
      </c>
      <c r="N80" s="45" t="s">
        <v>166</v>
      </c>
      <c r="O80" s="45" t="s">
        <v>166</v>
      </c>
      <c r="P80" s="45" t="s">
        <v>166</v>
      </c>
      <c r="Q80" s="45" t="s">
        <v>311</v>
      </c>
      <c r="R80" s="45">
        <v>46824</v>
      </c>
      <c r="S80" s="45" t="s">
        <v>311</v>
      </c>
      <c r="T80" s="45" t="s">
        <v>166</v>
      </c>
      <c r="U80" s="104"/>
    </row>
    <row r="81" spans="1:21" s="144" customFormat="1" hidden="1" x14ac:dyDescent="0.25">
      <c r="A81" s="7" t="s">
        <v>317</v>
      </c>
      <c r="B81" t="s">
        <v>317</v>
      </c>
      <c r="C81" t="s">
        <v>85</v>
      </c>
      <c r="D81" s="44" t="s">
        <v>86</v>
      </c>
      <c r="E81" s="44" t="s">
        <v>93</v>
      </c>
      <c r="F81" s="45">
        <v>43183</v>
      </c>
      <c r="G81" s="45">
        <v>43184</v>
      </c>
      <c r="H81" s="45">
        <v>46824</v>
      </c>
      <c r="I81" s="45"/>
      <c r="J81" s="45" t="s">
        <v>215</v>
      </c>
      <c r="K81" s="45" t="s">
        <v>216</v>
      </c>
      <c r="L81" s="45"/>
      <c r="M81" s="45" t="s">
        <v>250</v>
      </c>
      <c r="N81" s="45"/>
      <c r="O81" s="44" t="s">
        <v>426</v>
      </c>
      <c r="P81" s="45"/>
      <c r="Q81" s="45" t="s">
        <v>311</v>
      </c>
      <c r="R81" s="45">
        <v>46824</v>
      </c>
      <c r="S81" s="45" t="s">
        <v>311</v>
      </c>
      <c r="T81" s="45" t="s">
        <v>166</v>
      </c>
      <c r="U81" s="104"/>
    </row>
    <row r="82" spans="1:21" s="34" customFormat="1" hidden="1" x14ac:dyDescent="0.25">
      <c r="A82" s="112" t="s">
        <v>319</v>
      </c>
      <c r="B82" s="19" t="s">
        <v>319</v>
      </c>
      <c r="C82" s="19" t="s">
        <v>286</v>
      </c>
      <c r="D82" s="115" t="s">
        <v>100</v>
      </c>
      <c r="E82" s="116" t="s">
        <v>93</v>
      </c>
      <c r="F82" s="111">
        <v>43200</v>
      </c>
      <c r="G82" s="111">
        <v>43201</v>
      </c>
      <c r="H82" s="111">
        <v>46852</v>
      </c>
      <c r="I82" s="111">
        <v>43283</v>
      </c>
      <c r="J82" s="36" t="s">
        <v>234</v>
      </c>
      <c r="K82" s="36" t="s">
        <v>166</v>
      </c>
      <c r="L82" s="111" t="s">
        <v>166</v>
      </c>
      <c r="M82" s="36" t="s">
        <v>166</v>
      </c>
      <c r="N82" s="111" t="s">
        <v>166</v>
      </c>
      <c r="O82" s="34" t="s">
        <v>166</v>
      </c>
      <c r="P82" s="111" t="s">
        <v>166</v>
      </c>
      <c r="Q82" s="36" t="s">
        <v>427</v>
      </c>
      <c r="R82" s="111">
        <v>46852</v>
      </c>
      <c r="S82" s="36" t="s">
        <v>427</v>
      </c>
      <c r="T82" s="111" t="s">
        <v>166</v>
      </c>
      <c r="U82" s="111" t="s">
        <v>425</v>
      </c>
    </row>
    <row r="83" spans="1:21" s="34" customFormat="1" hidden="1" x14ac:dyDescent="0.25">
      <c r="A83" s="7" t="s">
        <v>320</v>
      </c>
      <c r="B83" t="s">
        <v>320</v>
      </c>
      <c r="C83" s="27" t="s">
        <v>553</v>
      </c>
      <c r="D83" s="235" t="s">
        <v>545</v>
      </c>
      <c r="E83" s="235" t="s">
        <v>93</v>
      </c>
      <c r="F83" s="36">
        <v>43213</v>
      </c>
      <c r="G83" s="36"/>
      <c r="H83" s="36"/>
      <c r="I83" s="36"/>
      <c r="J83" s="36"/>
      <c r="K83" s="36" t="s">
        <v>166</v>
      </c>
      <c r="L83" s="36" t="s">
        <v>166</v>
      </c>
      <c r="M83" s="36" t="s">
        <v>166</v>
      </c>
      <c r="N83" s="36" t="s">
        <v>166</v>
      </c>
      <c r="O83" s="34" t="s">
        <v>166</v>
      </c>
      <c r="P83" s="36" t="s">
        <v>166</v>
      </c>
      <c r="Q83" s="36" t="s">
        <v>321</v>
      </c>
      <c r="R83" s="36">
        <v>46880</v>
      </c>
      <c r="S83" s="36" t="s">
        <v>321</v>
      </c>
      <c r="T83" s="36" t="s">
        <v>166</v>
      </c>
      <c r="U83" s="36"/>
    </row>
    <row r="84" spans="1:21" s="34" customFormat="1" hidden="1" x14ac:dyDescent="0.25">
      <c r="A84" s="7" t="s">
        <v>322</v>
      </c>
      <c r="B84" t="s">
        <v>322</v>
      </c>
      <c r="C84" t="s">
        <v>558</v>
      </c>
      <c r="D84" s="236" t="s">
        <v>559</v>
      </c>
      <c r="E84" s="49" t="s">
        <v>93</v>
      </c>
      <c r="F84" s="50">
        <v>43234</v>
      </c>
      <c r="G84" s="50">
        <v>43235</v>
      </c>
      <c r="H84" s="50">
        <v>46880</v>
      </c>
      <c r="I84" s="50"/>
      <c r="J84" s="50" t="s">
        <v>242</v>
      </c>
      <c r="K84" s="50" t="s">
        <v>253</v>
      </c>
      <c r="L84" s="50"/>
      <c r="M84" s="50" t="s">
        <v>254</v>
      </c>
      <c r="N84" s="50"/>
      <c r="O84" s="49" t="s">
        <v>323</v>
      </c>
      <c r="P84" s="50"/>
      <c r="Q84" s="50" t="s">
        <v>321</v>
      </c>
      <c r="R84" s="50">
        <v>46880</v>
      </c>
      <c r="S84" s="50" t="s">
        <v>321</v>
      </c>
      <c r="T84" s="50" t="s">
        <v>166</v>
      </c>
      <c r="U84" s="36"/>
    </row>
    <row r="85" spans="1:21" s="34" customFormat="1" ht="15.75" hidden="1" customHeight="1" x14ac:dyDescent="0.25">
      <c r="A85" t="s">
        <v>324</v>
      </c>
      <c r="B85" t="s">
        <v>324</v>
      </c>
      <c r="C85" t="s">
        <v>85</v>
      </c>
      <c r="D85" s="51" t="s">
        <v>86</v>
      </c>
      <c r="E85" s="51" t="s">
        <v>93</v>
      </c>
      <c r="F85" s="52">
        <v>43242</v>
      </c>
      <c r="G85" s="52">
        <v>43243</v>
      </c>
      <c r="H85" s="52">
        <v>46908</v>
      </c>
      <c r="I85" s="52"/>
      <c r="J85" s="52" t="s">
        <v>173</v>
      </c>
      <c r="K85" s="52" t="s">
        <v>174</v>
      </c>
      <c r="L85" s="52"/>
      <c r="M85" s="52" t="s">
        <v>175</v>
      </c>
      <c r="N85" s="52"/>
      <c r="O85" s="51" t="s">
        <v>325</v>
      </c>
      <c r="P85" s="52"/>
      <c r="Q85" s="52" t="s">
        <v>326</v>
      </c>
      <c r="R85" s="52">
        <v>46908</v>
      </c>
      <c r="S85" s="52" t="s">
        <v>326</v>
      </c>
      <c r="T85" s="52" t="s">
        <v>166</v>
      </c>
      <c r="U85" s="36"/>
    </row>
    <row r="86" spans="1:21" s="34" customFormat="1" hidden="1" x14ac:dyDescent="0.25">
      <c r="A86" s="88" t="s">
        <v>327</v>
      </c>
      <c r="B86" s="73" t="s">
        <v>327</v>
      </c>
      <c r="C86" s="73" t="s">
        <v>286</v>
      </c>
      <c r="D86" s="89" t="s">
        <v>100</v>
      </c>
      <c r="E86" s="89" t="s">
        <v>93</v>
      </c>
      <c r="F86" s="90">
        <v>43252</v>
      </c>
      <c r="G86" s="90">
        <v>43253</v>
      </c>
      <c r="H86" s="90">
        <v>46908</v>
      </c>
      <c r="I86" s="90"/>
      <c r="J86" s="90" t="s">
        <v>173</v>
      </c>
      <c r="K86" s="90" t="s">
        <v>174</v>
      </c>
      <c r="L86" s="90"/>
      <c r="M86" s="90" t="s">
        <v>175</v>
      </c>
      <c r="N86" s="90"/>
      <c r="O86" s="89" t="s">
        <v>325</v>
      </c>
      <c r="P86" s="90"/>
      <c r="Q86" s="90" t="s">
        <v>326</v>
      </c>
      <c r="R86" s="90">
        <v>46908</v>
      </c>
      <c r="S86" s="90" t="s">
        <v>326</v>
      </c>
      <c r="T86" s="90" t="s">
        <v>166</v>
      </c>
      <c r="U86" s="108" t="s">
        <v>393</v>
      </c>
    </row>
    <row r="87" spans="1:21" s="34" customFormat="1" hidden="1" x14ac:dyDescent="0.25">
      <c r="A87" s="7" t="s">
        <v>329</v>
      </c>
      <c r="B87" s="7" t="s">
        <v>329</v>
      </c>
      <c r="C87" s="27" t="s">
        <v>554</v>
      </c>
      <c r="D87" s="235" t="s">
        <v>545</v>
      </c>
      <c r="E87" s="61" t="s">
        <v>93</v>
      </c>
      <c r="F87" s="62">
        <v>43269</v>
      </c>
      <c r="G87" s="36">
        <v>43270</v>
      </c>
      <c r="H87" s="36">
        <v>46936</v>
      </c>
      <c r="I87" s="36"/>
      <c r="J87" s="36"/>
      <c r="K87" s="36"/>
      <c r="L87" s="36"/>
      <c r="M87" s="36"/>
      <c r="N87" s="36"/>
      <c r="P87" s="36"/>
      <c r="Q87" s="36" t="s">
        <v>330</v>
      </c>
      <c r="R87" s="36">
        <v>46936</v>
      </c>
      <c r="S87" s="36" t="s">
        <v>330</v>
      </c>
      <c r="T87" s="36" t="s">
        <v>166</v>
      </c>
      <c r="U87" s="36"/>
    </row>
    <row r="88" spans="1:21" s="34" customFormat="1" hidden="1" x14ac:dyDescent="0.25">
      <c r="A88" s="7" t="s">
        <v>331</v>
      </c>
      <c r="B88" t="s">
        <v>331</v>
      </c>
      <c r="C88" t="s">
        <v>70</v>
      </c>
      <c r="D88" s="63" t="s">
        <v>71</v>
      </c>
      <c r="E88" s="63" t="s">
        <v>93</v>
      </c>
      <c r="F88" s="36">
        <v>43276</v>
      </c>
      <c r="G88" s="36">
        <v>43277</v>
      </c>
      <c r="H88" s="36">
        <v>46936</v>
      </c>
      <c r="I88" s="36"/>
      <c r="J88" s="36" t="s">
        <v>220</v>
      </c>
      <c r="K88" s="36" t="s">
        <v>222</v>
      </c>
      <c r="L88" s="36"/>
      <c r="M88" s="36" t="s">
        <v>223</v>
      </c>
      <c r="N88" s="36"/>
      <c r="O88" s="34" t="s">
        <v>332</v>
      </c>
      <c r="P88" s="36"/>
      <c r="Q88" s="36" t="s">
        <v>330</v>
      </c>
      <c r="R88" s="36">
        <v>46936</v>
      </c>
      <c r="S88" s="36" t="s">
        <v>330</v>
      </c>
      <c r="T88" s="36" t="s">
        <v>166</v>
      </c>
      <c r="U88" s="36"/>
    </row>
    <row r="89" spans="1:21" s="34" customFormat="1" hidden="1" x14ac:dyDescent="0.25">
      <c r="A89" s="7" t="s">
        <v>334</v>
      </c>
      <c r="B89" s="7" t="s">
        <v>334</v>
      </c>
      <c r="C89" t="s">
        <v>134</v>
      </c>
      <c r="D89" s="34" t="s">
        <v>111</v>
      </c>
      <c r="E89" s="64" t="s">
        <v>93</v>
      </c>
      <c r="F89" s="36">
        <v>43318</v>
      </c>
      <c r="G89" s="36">
        <v>43319</v>
      </c>
      <c r="H89" s="36">
        <v>46964</v>
      </c>
      <c r="I89" s="36">
        <v>43401</v>
      </c>
      <c r="J89" s="36" t="s">
        <v>335</v>
      </c>
      <c r="K89" s="36" t="s">
        <v>166</v>
      </c>
      <c r="L89" s="36" t="s">
        <v>166</v>
      </c>
      <c r="M89" s="36" t="s">
        <v>166</v>
      </c>
      <c r="N89" s="36" t="s">
        <v>166</v>
      </c>
      <c r="O89" s="34" t="s">
        <v>166</v>
      </c>
      <c r="P89" s="36" t="s">
        <v>166</v>
      </c>
      <c r="Q89" s="36" t="s">
        <v>336</v>
      </c>
      <c r="R89" s="36">
        <v>46964</v>
      </c>
      <c r="S89" s="36" t="s">
        <v>336</v>
      </c>
      <c r="T89" s="36" t="s">
        <v>166</v>
      </c>
      <c r="U89" s="36"/>
    </row>
    <row r="90" spans="1:21" s="34" customFormat="1" hidden="1" x14ac:dyDescent="0.25">
      <c r="A90" s="88" t="s">
        <v>337</v>
      </c>
      <c r="B90" s="73" t="s">
        <v>337</v>
      </c>
      <c r="C90" s="73" t="s">
        <v>286</v>
      </c>
      <c r="D90" s="106" t="s">
        <v>100</v>
      </c>
      <c r="E90" s="107" t="s">
        <v>93</v>
      </c>
      <c r="F90" s="108">
        <v>43329</v>
      </c>
      <c r="G90" s="108">
        <v>43330</v>
      </c>
      <c r="H90" s="108">
        <v>46992</v>
      </c>
      <c r="I90" s="108">
        <v>43412</v>
      </c>
      <c r="J90" s="36" t="s">
        <v>230</v>
      </c>
      <c r="K90" s="36" t="s">
        <v>166</v>
      </c>
      <c r="L90" s="108" t="s">
        <v>166</v>
      </c>
      <c r="M90" s="36" t="s">
        <v>166</v>
      </c>
      <c r="N90" s="108" t="s">
        <v>166</v>
      </c>
      <c r="O90" s="34" t="s">
        <v>166</v>
      </c>
      <c r="P90" s="108" t="s">
        <v>166</v>
      </c>
      <c r="Q90" s="36" t="s">
        <v>338</v>
      </c>
      <c r="R90" s="108">
        <v>46992</v>
      </c>
      <c r="S90" s="36" t="s">
        <v>338</v>
      </c>
      <c r="T90" s="108" t="s">
        <v>166</v>
      </c>
      <c r="U90" s="108" t="s">
        <v>428</v>
      </c>
    </row>
    <row r="91" spans="1:21" s="34" customFormat="1" hidden="1" x14ac:dyDescent="0.25">
      <c r="A91" s="7" t="s">
        <v>339</v>
      </c>
      <c r="B91" t="s">
        <v>339</v>
      </c>
      <c r="C91" t="s">
        <v>57</v>
      </c>
      <c r="D91" s="65" t="s">
        <v>59</v>
      </c>
      <c r="E91" s="65" t="s">
        <v>93</v>
      </c>
      <c r="F91" s="66">
        <v>43334</v>
      </c>
      <c r="G91" s="66">
        <v>43335</v>
      </c>
      <c r="H91" s="66">
        <v>46992</v>
      </c>
      <c r="I91" s="66">
        <v>43417</v>
      </c>
      <c r="J91" s="66" t="s">
        <v>230</v>
      </c>
      <c r="K91" s="66" t="s">
        <v>166</v>
      </c>
      <c r="L91" s="66" t="s">
        <v>166</v>
      </c>
      <c r="M91" s="66" t="s">
        <v>166</v>
      </c>
      <c r="N91" s="66" t="s">
        <v>166</v>
      </c>
      <c r="O91" s="65" t="s">
        <v>166</v>
      </c>
      <c r="P91" s="66" t="s">
        <v>166</v>
      </c>
      <c r="Q91" s="66" t="s">
        <v>338</v>
      </c>
      <c r="R91" s="66">
        <v>46992</v>
      </c>
      <c r="S91" s="66" t="s">
        <v>338</v>
      </c>
      <c r="T91" s="66" t="s">
        <v>166</v>
      </c>
      <c r="U91" s="36"/>
    </row>
    <row r="92" spans="1:21" s="34" customFormat="1" hidden="1" x14ac:dyDescent="0.25">
      <c r="A92" s="7" t="s">
        <v>342</v>
      </c>
      <c r="B92" t="s">
        <v>342</v>
      </c>
      <c r="C92" t="s">
        <v>70</v>
      </c>
      <c r="D92" s="34" t="s">
        <v>71</v>
      </c>
      <c r="E92" s="67" t="s">
        <v>93</v>
      </c>
      <c r="F92" s="68">
        <v>43374</v>
      </c>
      <c r="G92" s="68">
        <v>43375</v>
      </c>
      <c r="H92" s="68">
        <v>47020</v>
      </c>
      <c r="I92" s="68"/>
      <c r="J92" s="68" t="s">
        <v>225</v>
      </c>
      <c r="K92" s="68" t="s">
        <v>226</v>
      </c>
      <c r="L92" s="68"/>
      <c r="M92" s="68" t="s">
        <v>343</v>
      </c>
      <c r="N92" s="68"/>
      <c r="O92" s="67" t="s">
        <v>344</v>
      </c>
      <c r="P92" s="68"/>
      <c r="Q92" s="68" t="s">
        <v>345</v>
      </c>
      <c r="R92" s="68">
        <v>47020</v>
      </c>
      <c r="S92" s="68" t="s">
        <v>345</v>
      </c>
      <c r="T92" s="68" t="s">
        <v>166</v>
      </c>
      <c r="U92" s="36"/>
    </row>
    <row r="93" spans="1:21" s="34" customFormat="1" hidden="1" x14ac:dyDescent="0.25">
      <c r="A93" s="7" t="s">
        <v>346</v>
      </c>
      <c r="B93" t="s">
        <v>346</v>
      </c>
      <c r="C93" t="s">
        <v>568</v>
      </c>
      <c r="D93" s="34" t="s">
        <v>567</v>
      </c>
      <c r="E93" s="69" t="s">
        <v>93</v>
      </c>
      <c r="F93" s="36">
        <v>43381</v>
      </c>
      <c r="G93" s="36">
        <v>43382</v>
      </c>
      <c r="H93" s="36">
        <v>47048</v>
      </c>
      <c r="I93" s="36"/>
      <c r="J93" s="36" t="s">
        <v>169</v>
      </c>
      <c r="K93" s="36" t="s">
        <v>170</v>
      </c>
      <c r="L93" s="36"/>
      <c r="M93" s="36" t="s">
        <v>287</v>
      </c>
      <c r="N93" s="36"/>
      <c r="O93" s="34" t="s">
        <v>348</v>
      </c>
      <c r="P93" s="36"/>
      <c r="Q93" s="36" t="s">
        <v>349</v>
      </c>
      <c r="R93" s="70">
        <v>47048</v>
      </c>
      <c r="S93" s="70" t="s">
        <v>349</v>
      </c>
      <c r="T93" s="70" t="s">
        <v>166</v>
      </c>
      <c r="U93" s="36"/>
    </row>
    <row r="94" spans="1:21" s="34" customFormat="1" hidden="1" x14ac:dyDescent="0.25">
      <c r="A94" s="112" t="s">
        <v>347</v>
      </c>
      <c r="B94" s="19" t="s">
        <v>347</v>
      </c>
      <c r="C94" s="19" t="s">
        <v>286</v>
      </c>
      <c r="D94" s="115" t="s">
        <v>100</v>
      </c>
      <c r="E94" s="117" t="s">
        <v>93</v>
      </c>
      <c r="F94" s="111">
        <v>43382</v>
      </c>
      <c r="G94" s="111">
        <v>43383</v>
      </c>
      <c r="H94" s="111">
        <v>47048</v>
      </c>
      <c r="I94" s="111">
        <v>43465</v>
      </c>
      <c r="J94" s="36" t="s">
        <v>169</v>
      </c>
      <c r="K94" s="36" t="s">
        <v>166</v>
      </c>
      <c r="L94" s="111" t="s">
        <v>166</v>
      </c>
      <c r="M94" s="36" t="s">
        <v>166</v>
      </c>
      <c r="N94" s="111" t="s">
        <v>166</v>
      </c>
      <c r="O94" s="34" t="s">
        <v>166</v>
      </c>
      <c r="P94" s="111" t="s">
        <v>166</v>
      </c>
      <c r="Q94" s="36" t="s">
        <v>349</v>
      </c>
      <c r="R94" s="118">
        <v>47048</v>
      </c>
      <c r="S94" s="70" t="s">
        <v>349</v>
      </c>
      <c r="T94" s="118" t="s">
        <v>166</v>
      </c>
      <c r="U94" s="111" t="s">
        <v>425</v>
      </c>
    </row>
    <row r="95" spans="1:21" s="34" customFormat="1" hidden="1" x14ac:dyDescent="0.25">
      <c r="A95" s="7" t="s">
        <v>350</v>
      </c>
      <c r="B95" t="s">
        <v>350</v>
      </c>
      <c r="C95" t="s">
        <v>92</v>
      </c>
      <c r="D95" s="71" t="s">
        <v>94</v>
      </c>
      <c r="E95" s="72" t="s">
        <v>58</v>
      </c>
      <c r="F95" s="36">
        <v>43397</v>
      </c>
      <c r="G95" s="36">
        <v>43398</v>
      </c>
      <c r="H95" s="36">
        <v>47048</v>
      </c>
      <c r="I95" s="36" t="s">
        <v>166</v>
      </c>
      <c r="J95" s="36" t="s">
        <v>169</v>
      </c>
      <c r="K95" s="36" t="s">
        <v>170</v>
      </c>
      <c r="L95" s="36">
        <v>43772</v>
      </c>
      <c r="M95" s="36" t="s">
        <v>287</v>
      </c>
      <c r="N95" s="36">
        <v>44136</v>
      </c>
      <c r="O95" s="34" t="s">
        <v>348</v>
      </c>
      <c r="P95" s="36">
        <v>44500</v>
      </c>
      <c r="Q95" s="36" t="s">
        <v>349</v>
      </c>
      <c r="R95" s="36">
        <v>47048</v>
      </c>
      <c r="S95" s="36" t="s">
        <v>349</v>
      </c>
      <c r="T95" s="36" t="s">
        <v>166</v>
      </c>
      <c r="U95" s="36"/>
    </row>
    <row r="96" spans="1:21" s="34" customFormat="1" hidden="1" x14ac:dyDescent="0.25">
      <c r="A96" s="46" t="s">
        <v>351</v>
      </c>
      <c r="B96" s="91" t="s">
        <v>351</v>
      </c>
      <c r="C96" s="91" t="s">
        <v>352</v>
      </c>
      <c r="D96" s="92" t="s">
        <v>353</v>
      </c>
      <c r="E96" s="93" t="s">
        <v>93</v>
      </c>
      <c r="F96" s="94">
        <v>43399</v>
      </c>
      <c r="G96" s="94">
        <v>43400</v>
      </c>
      <c r="H96" s="94">
        <v>47048</v>
      </c>
      <c r="I96" s="94"/>
      <c r="J96" s="94" t="s">
        <v>169</v>
      </c>
      <c r="K96" s="94" t="s">
        <v>170</v>
      </c>
      <c r="L96" s="94"/>
      <c r="M96" s="94" t="s">
        <v>287</v>
      </c>
      <c r="N96" s="94"/>
      <c r="O96" s="93" t="s">
        <v>348</v>
      </c>
      <c r="P96" s="94"/>
      <c r="Q96" s="94" t="s">
        <v>349</v>
      </c>
      <c r="R96" s="94">
        <v>47048</v>
      </c>
      <c r="S96" s="94" t="s">
        <v>349</v>
      </c>
      <c r="T96" s="94" t="s">
        <v>166</v>
      </c>
      <c r="U96" s="36" t="s">
        <v>359</v>
      </c>
    </row>
    <row r="97" spans="1:21" s="34" customFormat="1" hidden="1" x14ac:dyDescent="0.25">
      <c r="A97" s="88" t="s">
        <v>354</v>
      </c>
      <c r="B97" s="73" t="s">
        <v>354</v>
      </c>
      <c r="C97" s="73" t="s">
        <v>85</v>
      </c>
      <c r="D97" s="89" t="s">
        <v>86</v>
      </c>
      <c r="E97" s="89" t="s">
        <v>93</v>
      </c>
      <c r="F97" s="90">
        <v>43440</v>
      </c>
      <c r="G97" s="90">
        <v>43441</v>
      </c>
      <c r="H97" s="90">
        <v>47104</v>
      </c>
      <c r="I97" s="90"/>
      <c r="J97" s="90" t="s">
        <v>182</v>
      </c>
      <c r="K97" s="90" t="s">
        <v>252</v>
      </c>
      <c r="L97" s="90"/>
      <c r="M97" s="90" t="s">
        <v>302</v>
      </c>
      <c r="N97" s="90"/>
      <c r="O97" s="89" t="s">
        <v>356</v>
      </c>
      <c r="P97" s="90"/>
      <c r="Q97" s="90" t="s">
        <v>357</v>
      </c>
      <c r="R97" s="90">
        <v>47104</v>
      </c>
      <c r="S97" s="90" t="s">
        <v>357</v>
      </c>
      <c r="T97" s="90" t="s">
        <v>166</v>
      </c>
      <c r="U97" s="36" t="s">
        <v>416</v>
      </c>
    </row>
    <row r="98" spans="1:21" s="34" customFormat="1" hidden="1" x14ac:dyDescent="0.25">
      <c r="A98" s="112" t="s">
        <v>358</v>
      </c>
      <c r="B98" s="19" t="s">
        <v>358</v>
      </c>
      <c r="C98" s="19" t="s">
        <v>286</v>
      </c>
      <c r="D98" s="115" t="s">
        <v>100</v>
      </c>
      <c r="E98" s="119" t="s">
        <v>93</v>
      </c>
      <c r="F98" s="111">
        <v>43445</v>
      </c>
      <c r="G98" s="111">
        <v>43446</v>
      </c>
      <c r="H98" s="111">
        <v>47104</v>
      </c>
      <c r="I98" s="111">
        <v>43465</v>
      </c>
      <c r="J98" s="36" t="s">
        <v>182</v>
      </c>
      <c r="K98" s="36" t="s">
        <v>166</v>
      </c>
      <c r="L98" s="111" t="s">
        <v>166</v>
      </c>
      <c r="M98" s="36" t="s">
        <v>166</v>
      </c>
      <c r="N98" s="111" t="s">
        <v>166</v>
      </c>
      <c r="O98" s="34" t="s">
        <v>166</v>
      </c>
      <c r="P98" s="111" t="s">
        <v>166</v>
      </c>
      <c r="Q98" s="36" t="s">
        <v>357</v>
      </c>
      <c r="R98" s="120">
        <v>47104</v>
      </c>
      <c r="S98" s="81" t="s">
        <v>357</v>
      </c>
      <c r="T98" s="120" t="s">
        <v>166</v>
      </c>
      <c r="U98" s="111" t="s">
        <v>425</v>
      </c>
    </row>
    <row r="99" spans="1:21" s="34" customFormat="1" hidden="1" x14ac:dyDescent="0.25">
      <c r="A99" s="7" t="s">
        <v>355</v>
      </c>
      <c r="B99" t="s">
        <v>355</v>
      </c>
      <c r="C99" t="s">
        <v>85</v>
      </c>
      <c r="D99" s="34" t="s">
        <v>86</v>
      </c>
      <c r="E99" s="76" t="s">
        <v>93</v>
      </c>
      <c r="F99" s="36">
        <v>43449</v>
      </c>
      <c r="G99" s="36">
        <v>43450</v>
      </c>
      <c r="H99" s="36">
        <v>47104</v>
      </c>
      <c r="I99" s="36"/>
      <c r="J99" s="36" t="s">
        <v>182</v>
      </c>
      <c r="K99" s="36" t="s">
        <v>252</v>
      </c>
      <c r="L99" s="36"/>
      <c r="M99" s="36" t="s">
        <v>302</v>
      </c>
      <c r="N99" s="36"/>
      <c r="O99" s="34" t="s">
        <v>356</v>
      </c>
      <c r="P99" s="36"/>
      <c r="Q99" s="36" t="s">
        <v>357</v>
      </c>
      <c r="R99" s="36">
        <v>47104</v>
      </c>
      <c r="S99" s="36" t="s">
        <v>357</v>
      </c>
      <c r="T99" s="36" t="s">
        <v>166</v>
      </c>
      <c r="U99" s="36"/>
    </row>
    <row r="100" spans="1:21" s="34" customFormat="1" hidden="1" x14ac:dyDescent="0.25">
      <c r="A100" s="112" t="s">
        <v>379</v>
      </c>
      <c r="B100" s="19" t="s">
        <v>379</v>
      </c>
      <c r="C100" s="19" t="s">
        <v>286</v>
      </c>
      <c r="D100" s="115" t="s">
        <v>100</v>
      </c>
      <c r="E100" s="121" t="s">
        <v>93</v>
      </c>
      <c r="F100" s="122">
        <v>43487</v>
      </c>
      <c r="G100" s="111">
        <f>Table44[[#This Row],[Open Date]]</f>
        <v>43487</v>
      </c>
      <c r="H100" s="120">
        <v>47132</v>
      </c>
      <c r="I100" s="120">
        <v>43555</v>
      </c>
      <c r="J100" s="81" t="s">
        <v>186</v>
      </c>
      <c r="K100" s="81" t="s">
        <v>166</v>
      </c>
      <c r="L100" s="120"/>
      <c r="M100" s="81" t="s">
        <v>166</v>
      </c>
      <c r="N100" s="120"/>
      <c r="O100" s="82" t="s">
        <v>166</v>
      </c>
      <c r="P100" s="120"/>
      <c r="Q100" s="81" t="s">
        <v>380</v>
      </c>
      <c r="R100" s="120">
        <v>47132</v>
      </c>
      <c r="S100" s="81" t="s">
        <v>380</v>
      </c>
      <c r="T100" s="120" t="s">
        <v>166</v>
      </c>
      <c r="U100" s="111" t="s">
        <v>425</v>
      </c>
    </row>
    <row r="101" spans="1:21" s="34" customFormat="1" hidden="1" x14ac:dyDescent="0.25">
      <c r="A101" s="7" t="s">
        <v>381</v>
      </c>
      <c r="B101" t="s">
        <v>381</v>
      </c>
      <c r="C101" t="s">
        <v>57</v>
      </c>
      <c r="D101" s="34" t="s">
        <v>59</v>
      </c>
      <c r="E101" s="77" t="s">
        <v>93</v>
      </c>
      <c r="F101" s="78">
        <v>43488</v>
      </c>
      <c r="G101" s="36">
        <f>Table44[[#This Row],[Open Date]]</f>
        <v>43488</v>
      </c>
      <c r="H101" s="78">
        <v>47132</v>
      </c>
      <c r="I101" s="78">
        <v>43571</v>
      </c>
      <c r="J101" s="78" t="s">
        <v>186</v>
      </c>
      <c r="K101" s="78" t="s">
        <v>166</v>
      </c>
      <c r="L101" s="78" t="s">
        <v>166</v>
      </c>
      <c r="M101" s="78" t="s">
        <v>166</v>
      </c>
      <c r="N101" s="78" t="s">
        <v>166</v>
      </c>
      <c r="O101" s="77" t="s">
        <v>166</v>
      </c>
      <c r="P101" s="78" t="s">
        <v>166</v>
      </c>
      <c r="Q101" s="78" t="s">
        <v>380</v>
      </c>
      <c r="R101" s="78">
        <v>47132</v>
      </c>
      <c r="S101" s="78" t="s">
        <v>380</v>
      </c>
      <c r="T101" s="78" t="s">
        <v>166</v>
      </c>
      <c r="U101" s="36"/>
    </row>
    <row r="102" spans="1:21" s="34" customFormat="1" hidden="1" x14ac:dyDescent="0.25">
      <c r="A102" s="7" t="s">
        <v>382</v>
      </c>
      <c r="B102" t="s">
        <v>382</v>
      </c>
      <c r="C102" t="s">
        <v>70</v>
      </c>
      <c r="D102" s="34" t="s">
        <v>71</v>
      </c>
      <c r="E102" s="79" t="s">
        <v>93</v>
      </c>
      <c r="F102" s="80">
        <v>43515</v>
      </c>
      <c r="G102" s="36">
        <f>Table44[[#This Row],[Open Date]]</f>
        <v>43515</v>
      </c>
      <c r="H102" s="80">
        <v>47160</v>
      </c>
      <c r="I102" s="80"/>
      <c r="J102" s="80" t="s">
        <v>211</v>
      </c>
      <c r="K102" s="80" t="s">
        <v>306</v>
      </c>
      <c r="L102" s="80"/>
      <c r="M102" s="80" t="s">
        <v>307</v>
      </c>
      <c r="N102" s="80"/>
      <c r="O102" s="79" t="s">
        <v>383</v>
      </c>
      <c r="P102" s="80"/>
      <c r="Q102" s="80" t="s">
        <v>384</v>
      </c>
      <c r="R102" s="80">
        <v>47160</v>
      </c>
      <c r="S102" s="80" t="s">
        <v>384</v>
      </c>
      <c r="T102" s="80" t="s">
        <v>166</v>
      </c>
      <c r="U102" s="36"/>
    </row>
    <row r="103" spans="1:21" s="34" customFormat="1" hidden="1" x14ac:dyDescent="0.25">
      <c r="A103" s="112" t="s">
        <v>385</v>
      </c>
      <c r="B103" s="19" t="s">
        <v>385</v>
      </c>
      <c r="C103" s="19" t="s">
        <v>286</v>
      </c>
      <c r="D103" s="115" t="s">
        <v>100</v>
      </c>
      <c r="E103" s="123" t="s">
        <v>93</v>
      </c>
      <c r="F103" s="111">
        <v>43529</v>
      </c>
      <c r="G103" s="111">
        <f>Table44[[#This Row],[Open Date]]</f>
        <v>43529</v>
      </c>
      <c r="H103" s="111">
        <v>47188</v>
      </c>
      <c r="I103" s="111">
        <v>43612</v>
      </c>
      <c r="J103" s="36" t="s">
        <v>216</v>
      </c>
      <c r="K103" s="36" t="s">
        <v>166</v>
      </c>
      <c r="L103" s="111" t="s">
        <v>166</v>
      </c>
      <c r="M103" s="36" t="s">
        <v>166</v>
      </c>
      <c r="N103" s="111" t="s">
        <v>166</v>
      </c>
      <c r="O103" s="34" t="s">
        <v>166</v>
      </c>
      <c r="P103" s="111" t="s">
        <v>166</v>
      </c>
      <c r="Q103" s="36" t="s">
        <v>386</v>
      </c>
      <c r="R103" s="111">
        <v>47188</v>
      </c>
      <c r="S103" s="36" t="s">
        <v>386</v>
      </c>
      <c r="T103" s="111" t="s">
        <v>166</v>
      </c>
      <c r="U103" s="111" t="s">
        <v>425</v>
      </c>
    </row>
    <row r="104" spans="1:21" s="34" customFormat="1" hidden="1" x14ac:dyDescent="0.25">
      <c r="A104" s="7" t="s">
        <v>387</v>
      </c>
      <c r="B104" t="s">
        <v>387</v>
      </c>
      <c r="C104" t="s">
        <v>85</v>
      </c>
      <c r="D104" s="34" t="s">
        <v>86</v>
      </c>
      <c r="E104" s="84" t="s">
        <v>93</v>
      </c>
      <c r="F104" s="85">
        <v>43598</v>
      </c>
      <c r="G104" s="36">
        <f>Table44[[#This Row],[Open Date]]</f>
        <v>43598</v>
      </c>
      <c r="H104" s="85">
        <v>47244</v>
      </c>
      <c r="I104" s="85"/>
      <c r="J104" s="85" t="s">
        <v>253</v>
      </c>
      <c r="K104" s="85" t="s">
        <v>254</v>
      </c>
      <c r="L104" s="85"/>
      <c r="M104" s="85" t="s">
        <v>323</v>
      </c>
      <c r="N104" s="85"/>
      <c r="O104" s="84" t="s">
        <v>388</v>
      </c>
      <c r="P104" s="85"/>
      <c r="Q104" s="85" t="s">
        <v>389</v>
      </c>
      <c r="R104" s="85">
        <v>47244</v>
      </c>
      <c r="S104" s="85" t="s">
        <v>389</v>
      </c>
      <c r="T104" s="85" t="s">
        <v>166</v>
      </c>
      <c r="U104" s="36"/>
    </row>
    <row r="105" spans="1:21" s="34" customFormat="1" hidden="1" x14ac:dyDescent="0.25">
      <c r="A105" s="7" t="s">
        <v>390</v>
      </c>
      <c r="B105" t="s">
        <v>390</v>
      </c>
      <c r="C105" t="s">
        <v>70</v>
      </c>
      <c r="D105" s="86" t="s">
        <v>71</v>
      </c>
      <c r="E105" s="86" t="s">
        <v>93</v>
      </c>
      <c r="F105" s="87">
        <v>43619</v>
      </c>
      <c r="G105" s="36">
        <f>Table44[[#This Row],[Open Date]]</f>
        <v>43619</v>
      </c>
      <c r="H105" s="87">
        <v>47272</v>
      </c>
      <c r="I105" s="87"/>
      <c r="J105" s="87" t="s">
        <v>174</v>
      </c>
      <c r="K105" s="87" t="s">
        <v>175</v>
      </c>
      <c r="L105" s="87"/>
      <c r="M105" s="87" t="s">
        <v>325</v>
      </c>
      <c r="N105" s="87"/>
      <c r="O105" s="86" t="s">
        <v>391</v>
      </c>
      <c r="P105" s="87"/>
      <c r="Q105" s="87" t="s">
        <v>392</v>
      </c>
      <c r="R105" s="87">
        <v>47272</v>
      </c>
      <c r="S105" s="87" t="s">
        <v>392</v>
      </c>
      <c r="T105" s="87" t="s">
        <v>166</v>
      </c>
      <c r="U105" s="36"/>
    </row>
    <row r="106" spans="1:21" s="34" customFormat="1" hidden="1" x14ac:dyDescent="0.25">
      <c r="A106" s="7" t="s">
        <v>408</v>
      </c>
      <c r="B106" t="s">
        <v>408</v>
      </c>
      <c r="C106" t="s">
        <v>70</v>
      </c>
      <c r="D106" s="34" t="s">
        <v>71</v>
      </c>
      <c r="E106" s="98" t="s">
        <v>93</v>
      </c>
      <c r="F106" s="99">
        <v>43689</v>
      </c>
      <c r="G106" s="36">
        <f>Table44[[#This Row],[Open Date]]</f>
        <v>43689</v>
      </c>
      <c r="H106" s="99">
        <v>47356</v>
      </c>
      <c r="I106" s="99"/>
      <c r="J106" s="99" t="s">
        <v>244</v>
      </c>
      <c r="K106" s="99" t="s">
        <v>245</v>
      </c>
      <c r="L106" s="99"/>
      <c r="M106" s="99" t="s">
        <v>409</v>
      </c>
      <c r="N106" s="99"/>
      <c r="O106" s="98" t="s">
        <v>410</v>
      </c>
      <c r="P106" s="99"/>
      <c r="Q106" s="99" t="s">
        <v>411</v>
      </c>
      <c r="R106" s="99">
        <v>47356</v>
      </c>
      <c r="S106" s="99" t="s">
        <v>411</v>
      </c>
      <c r="T106" s="99" t="s">
        <v>166</v>
      </c>
      <c r="U106" s="36"/>
    </row>
    <row r="107" spans="1:21" s="34" customFormat="1" hidden="1" x14ac:dyDescent="0.25">
      <c r="A107" s="7" t="s">
        <v>429</v>
      </c>
      <c r="B107" t="s">
        <v>429</v>
      </c>
      <c r="C107" t="s">
        <v>430</v>
      </c>
      <c r="D107" s="34" t="s">
        <v>431</v>
      </c>
      <c r="E107" s="103" t="s">
        <v>93</v>
      </c>
      <c r="F107" s="104">
        <v>43739</v>
      </c>
      <c r="G107" s="36">
        <f>Table44[[#This Row],[Open Date]]</f>
        <v>43739</v>
      </c>
      <c r="H107" s="104">
        <v>47384</v>
      </c>
      <c r="I107" s="104"/>
      <c r="J107" s="104" t="s">
        <v>226</v>
      </c>
      <c r="K107" s="104" t="s">
        <v>343</v>
      </c>
      <c r="L107" s="104"/>
      <c r="M107" s="104"/>
      <c r="N107" s="104"/>
      <c r="O107" s="103" t="s">
        <v>432</v>
      </c>
      <c r="P107" s="104"/>
      <c r="Q107" s="104" t="s">
        <v>433</v>
      </c>
      <c r="R107" s="104"/>
      <c r="S107" s="105" t="s">
        <v>433</v>
      </c>
      <c r="T107" s="105">
        <v>47384</v>
      </c>
      <c r="U107" s="36"/>
    </row>
    <row r="108" spans="1:21" s="34" customFormat="1" hidden="1" x14ac:dyDescent="0.25">
      <c r="A108" s="7" t="s">
        <v>434</v>
      </c>
      <c r="B108" t="s">
        <v>434</v>
      </c>
      <c r="C108" t="s">
        <v>85</v>
      </c>
      <c r="D108" s="34" t="s">
        <v>86</v>
      </c>
      <c r="E108" s="124" t="s">
        <v>93</v>
      </c>
      <c r="F108" s="125">
        <v>43746</v>
      </c>
      <c r="G108" s="36">
        <f>Table44[[#This Row],[Open Date]]</f>
        <v>43746</v>
      </c>
      <c r="H108" s="125">
        <v>43746</v>
      </c>
      <c r="I108" s="126"/>
      <c r="J108" s="126"/>
      <c r="K108" s="126"/>
      <c r="L108" s="126"/>
      <c r="M108" s="126"/>
      <c r="N108" s="126"/>
      <c r="O108" s="124"/>
      <c r="P108" s="126"/>
      <c r="Q108" s="126"/>
      <c r="R108" s="126">
        <v>47412</v>
      </c>
      <c r="S108" s="125"/>
      <c r="T108" s="125"/>
      <c r="U108" s="36"/>
    </row>
    <row r="109" spans="1:21" s="34" customFormat="1" hidden="1" x14ac:dyDescent="0.25">
      <c r="A109" s="7" t="s">
        <v>453</v>
      </c>
      <c r="B109" s="7" t="s">
        <v>453</v>
      </c>
      <c r="C109" t="s">
        <v>57</v>
      </c>
      <c r="D109" t="s">
        <v>59</v>
      </c>
      <c r="E109" s="129" t="s">
        <v>93</v>
      </c>
      <c r="F109" s="36">
        <v>43794</v>
      </c>
      <c r="G109" s="36">
        <f>Table44[[#This Row],[Open Date]]</f>
        <v>43794</v>
      </c>
      <c r="H109" s="36">
        <v>47440</v>
      </c>
      <c r="I109" s="36"/>
      <c r="J109" s="36" t="s">
        <v>292</v>
      </c>
      <c r="K109" s="36" t="s">
        <v>293</v>
      </c>
      <c r="L109" s="36"/>
      <c r="M109" s="36"/>
      <c r="N109" s="36"/>
      <c r="P109" s="36"/>
      <c r="Q109" s="36" t="s">
        <v>450</v>
      </c>
      <c r="R109" s="36">
        <v>47440</v>
      </c>
      <c r="S109" s="130"/>
      <c r="T109" s="130"/>
      <c r="U109" s="36" t="s">
        <v>166</v>
      </c>
    </row>
    <row r="110" spans="1:21" s="34" customFormat="1" hidden="1" x14ac:dyDescent="0.25">
      <c r="A110" s="7" t="s">
        <v>454</v>
      </c>
      <c r="B110" t="s">
        <v>454</v>
      </c>
      <c r="C110" t="s">
        <v>528</v>
      </c>
      <c r="D110" s="34" t="s">
        <v>456</v>
      </c>
      <c r="E110" s="131" t="s">
        <v>93</v>
      </c>
      <c r="F110" s="36">
        <v>43809</v>
      </c>
      <c r="G110" s="36">
        <v>43809</v>
      </c>
      <c r="H110" s="36">
        <v>47482</v>
      </c>
      <c r="I110" s="36"/>
      <c r="J110" s="36" t="s">
        <v>252</v>
      </c>
      <c r="K110" s="36" t="s">
        <v>302</v>
      </c>
      <c r="L110" s="36">
        <v>44920</v>
      </c>
      <c r="M110" s="36" t="s">
        <v>356</v>
      </c>
      <c r="N110" s="36">
        <v>44752</v>
      </c>
      <c r="O110" s="34" t="s">
        <v>466</v>
      </c>
      <c r="P110" s="36">
        <v>45113</v>
      </c>
      <c r="Q110" s="36" t="s">
        <v>467</v>
      </c>
      <c r="R110" s="36">
        <v>47482</v>
      </c>
      <c r="S110" s="132" t="s">
        <v>467</v>
      </c>
      <c r="T110" s="132"/>
      <c r="U110" s="36"/>
    </row>
    <row r="111" spans="1:21" s="34" customFormat="1" hidden="1" x14ac:dyDescent="0.25">
      <c r="A111" s="7" t="s">
        <v>457</v>
      </c>
      <c r="B111" t="s">
        <v>457</v>
      </c>
      <c r="C111" t="s">
        <v>70</v>
      </c>
      <c r="D111" s="34" t="s">
        <v>71</v>
      </c>
      <c r="E111" s="131" t="s">
        <v>93</v>
      </c>
      <c r="F111" s="36">
        <v>43843</v>
      </c>
      <c r="G111" s="36">
        <v>43843</v>
      </c>
      <c r="H111" s="36">
        <v>47510</v>
      </c>
      <c r="I111" s="36"/>
      <c r="J111" s="36" t="s">
        <v>187</v>
      </c>
      <c r="K111" s="36" t="s">
        <v>469</v>
      </c>
      <c r="L111" s="36"/>
      <c r="M111" s="36" t="s">
        <v>470</v>
      </c>
      <c r="N111" s="36"/>
      <c r="P111" s="36"/>
      <c r="Q111" s="36" t="s">
        <v>468</v>
      </c>
      <c r="R111" s="36">
        <v>47510</v>
      </c>
      <c r="S111" s="132"/>
      <c r="T111" s="132"/>
      <c r="U111" s="36" t="s">
        <v>166</v>
      </c>
    </row>
    <row r="112" spans="1:21" hidden="1" x14ac:dyDescent="0.25">
      <c r="A112" s="7" t="s">
        <v>301</v>
      </c>
      <c r="B112" t="s">
        <v>301</v>
      </c>
      <c r="C112" t="s">
        <v>65</v>
      </c>
      <c r="D112" s="34" t="s">
        <v>66</v>
      </c>
      <c r="E112" s="144" t="s">
        <v>93</v>
      </c>
      <c r="F112" s="36">
        <v>43885</v>
      </c>
      <c r="G112" s="36">
        <v>43885</v>
      </c>
      <c r="H112" s="36">
        <v>47566</v>
      </c>
      <c r="I112" s="36"/>
      <c r="J112" s="36" t="s">
        <v>250</v>
      </c>
      <c r="K112" s="36" t="s">
        <v>166</v>
      </c>
      <c r="L112" s="36" t="s">
        <v>166</v>
      </c>
      <c r="M112" s="36" t="s">
        <v>426</v>
      </c>
      <c r="N112" s="36">
        <v>44276</v>
      </c>
      <c r="O112" s="34" t="s">
        <v>471</v>
      </c>
      <c r="P112" s="36"/>
      <c r="Q112" s="36" t="s">
        <v>465</v>
      </c>
      <c r="R112" s="146">
        <v>47566</v>
      </c>
      <c r="S112" s="146" t="s">
        <v>465</v>
      </c>
      <c r="T112" s="146"/>
      <c r="U112" s="36" t="s">
        <v>166</v>
      </c>
    </row>
    <row r="113" spans="1:21" hidden="1" x14ac:dyDescent="0.25">
      <c r="A113" s="7" t="s">
        <v>472</v>
      </c>
      <c r="B113" t="s">
        <v>472</v>
      </c>
      <c r="C113" t="s">
        <v>134</v>
      </c>
      <c r="D113" s="34" t="s">
        <v>111</v>
      </c>
      <c r="E113" s="144" t="s">
        <v>93</v>
      </c>
      <c r="F113" s="36">
        <v>43892</v>
      </c>
      <c r="G113" s="36">
        <v>43892</v>
      </c>
      <c r="H113" s="36">
        <v>47575</v>
      </c>
      <c r="I113" s="36"/>
      <c r="J113" s="36"/>
      <c r="K113" s="36"/>
      <c r="L113" s="36"/>
      <c r="M113" s="36"/>
      <c r="N113" s="36"/>
      <c r="O113" s="34"/>
      <c r="P113" s="36"/>
      <c r="Q113" s="36" t="s">
        <v>516</v>
      </c>
      <c r="R113" s="36">
        <v>47575</v>
      </c>
      <c r="S113" s="36" t="s">
        <v>516</v>
      </c>
      <c r="T113" s="150"/>
      <c r="U113" s="36"/>
    </row>
    <row r="114" spans="1:21" hidden="1" x14ac:dyDescent="0.25">
      <c r="A114" s="7" t="s">
        <v>480</v>
      </c>
      <c r="B114" t="s">
        <v>480</v>
      </c>
      <c r="C114" s="27" t="s">
        <v>555</v>
      </c>
      <c r="D114" s="235" t="s">
        <v>545</v>
      </c>
      <c r="E114" s="156" t="s">
        <v>93</v>
      </c>
      <c r="F114" s="36">
        <v>43963</v>
      </c>
      <c r="G114" s="36">
        <v>43963</v>
      </c>
      <c r="H114" s="157">
        <v>47575</v>
      </c>
      <c r="I114" s="36"/>
      <c r="J114" s="36"/>
      <c r="K114" s="36"/>
      <c r="L114" s="36"/>
      <c r="M114" s="36"/>
      <c r="N114" s="36"/>
      <c r="O114" s="34"/>
      <c r="P114" s="36"/>
      <c r="Q114" s="36" t="s">
        <v>465</v>
      </c>
      <c r="R114" s="157">
        <v>47566</v>
      </c>
      <c r="S114" s="36" t="s">
        <v>465</v>
      </c>
      <c r="T114" s="157"/>
      <c r="U114" s="36"/>
    </row>
    <row r="115" spans="1:21" hidden="1" x14ac:dyDescent="0.25">
      <c r="A115" s="7" t="s">
        <v>481</v>
      </c>
      <c r="B115" t="s">
        <v>481</v>
      </c>
      <c r="C115" t="s">
        <v>57</v>
      </c>
      <c r="D115" s="34" t="s">
        <v>59</v>
      </c>
      <c r="E115" s="156" t="s">
        <v>93</v>
      </c>
      <c r="F115" s="36">
        <v>43978</v>
      </c>
      <c r="G115" s="36">
        <v>43978</v>
      </c>
      <c r="H115" s="157">
        <v>47678</v>
      </c>
      <c r="I115" s="36"/>
      <c r="J115" s="36"/>
      <c r="K115" s="36"/>
      <c r="L115" s="36"/>
      <c r="M115" s="36"/>
      <c r="N115" s="36"/>
      <c r="O115" s="34"/>
      <c r="P115" s="36"/>
      <c r="Q115" s="36"/>
      <c r="R115" s="157">
        <v>47678</v>
      </c>
      <c r="S115" s="157"/>
      <c r="T115" s="157"/>
      <c r="U115" s="36"/>
    </row>
    <row r="116" spans="1:21" s="162" customFormat="1" hidden="1" x14ac:dyDescent="0.25">
      <c r="A116" s="7" t="s">
        <v>488</v>
      </c>
      <c r="B116" t="s">
        <v>488</v>
      </c>
      <c r="C116" t="s">
        <v>57</v>
      </c>
      <c r="D116" s="183" t="s">
        <v>59</v>
      </c>
      <c r="E116" s="163" t="s">
        <v>93</v>
      </c>
      <c r="F116" s="36">
        <v>44172</v>
      </c>
      <c r="G116" s="36">
        <v>44172</v>
      </c>
      <c r="H116" s="164">
        <v>47846</v>
      </c>
      <c r="I116" s="164">
        <v>44255</v>
      </c>
      <c r="J116" s="164"/>
      <c r="K116" s="164"/>
      <c r="L116" s="164"/>
      <c r="M116" s="164"/>
      <c r="N116" s="164"/>
      <c r="O116" s="163"/>
      <c r="P116" s="164"/>
      <c r="Q116" s="164"/>
      <c r="R116" s="164">
        <v>47846</v>
      </c>
      <c r="S116" s="165"/>
      <c r="T116" s="165"/>
      <c r="U116" s="36" t="s">
        <v>166</v>
      </c>
    </row>
    <row r="117" spans="1:21" s="162" customFormat="1" hidden="1" x14ac:dyDescent="0.25">
      <c r="A117" s="7" t="s">
        <v>495</v>
      </c>
      <c r="B117" t="s">
        <v>495</v>
      </c>
      <c r="C117" t="s">
        <v>134</v>
      </c>
      <c r="D117" s="183" t="s">
        <v>111</v>
      </c>
      <c r="E117" s="183" t="s">
        <v>93</v>
      </c>
      <c r="F117" s="36">
        <v>44389</v>
      </c>
      <c r="G117" s="36">
        <v>44389</v>
      </c>
      <c r="H117" s="184">
        <v>48070</v>
      </c>
      <c r="I117" s="184">
        <v>44472</v>
      </c>
      <c r="J117" s="184"/>
      <c r="K117" s="184"/>
      <c r="L117" s="184"/>
      <c r="M117" s="184"/>
      <c r="N117" s="184"/>
      <c r="O117" s="183"/>
      <c r="P117" s="184"/>
      <c r="Q117" s="184"/>
      <c r="R117" s="184">
        <v>48061</v>
      </c>
      <c r="S117" s="185"/>
      <c r="T117" s="185"/>
      <c r="U117" s="36"/>
    </row>
    <row r="118" spans="1:21" s="186" customFormat="1" hidden="1" x14ac:dyDescent="0.25">
      <c r="A118" t="s">
        <v>501</v>
      </c>
      <c r="B118" t="s">
        <v>501</v>
      </c>
      <c r="C118" s="27" t="s">
        <v>556</v>
      </c>
      <c r="D118" s="235" t="s">
        <v>545</v>
      </c>
      <c r="E118" s="186" t="s">
        <v>93</v>
      </c>
      <c r="F118" s="187">
        <v>44438</v>
      </c>
      <c r="G118" s="189">
        <v>44438</v>
      </c>
      <c r="H118" s="189">
        <v>48098</v>
      </c>
      <c r="I118" s="189"/>
      <c r="J118" s="189" t="s">
        <v>409</v>
      </c>
      <c r="K118" s="189" t="s">
        <v>410</v>
      </c>
      <c r="L118" s="189"/>
      <c r="M118" s="189" t="s">
        <v>502</v>
      </c>
      <c r="N118" s="189"/>
      <c r="O118" s="190" t="s">
        <v>503</v>
      </c>
      <c r="P118" s="189"/>
      <c r="Q118" s="189" t="s">
        <v>504</v>
      </c>
      <c r="R118" s="189">
        <v>48098</v>
      </c>
      <c r="S118" s="188" t="s">
        <v>504</v>
      </c>
      <c r="T118" s="188" t="s">
        <v>166</v>
      </c>
      <c r="U118" s="189"/>
    </row>
    <row r="119" spans="1:21" hidden="1" x14ac:dyDescent="0.25">
      <c r="A119" s="7" t="s">
        <v>494</v>
      </c>
      <c r="B119" t="s">
        <v>494</v>
      </c>
      <c r="C119" t="s">
        <v>57</v>
      </c>
      <c r="D119" s="34" t="s">
        <v>59</v>
      </c>
      <c r="E119" s="177" t="s">
        <v>93</v>
      </c>
      <c r="F119" s="36">
        <v>0</v>
      </c>
      <c r="G119" s="178">
        <v>44368</v>
      </c>
      <c r="H119" s="179">
        <v>48042</v>
      </c>
      <c r="I119" s="179">
        <v>44451</v>
      </c>
      <c r="J119" s="179">
        <v>44450</v>
      </c>
      <c r="K119" s="179" t="s">
        <v>332</v>
      </c>
      <c r="L119" s="179" t="s">
        <v>166</v>
      </c>
      <c r="M119" s="179" t="s">
        <v>166</v>
      </c>
      <c r="N119" s="179" t="s">
        <v>166</v>
      </c>
      <c r="O119" s="180" t="s">
        <v>166</v>
      </c>
      <c r="P119" s="179" t="s">
        <v>166</v>
      </c>
      <c r="Q119" s="198" t="s">
        <v>515</v>
      </c>
      <c r="R119" s="179">
        <v>48042</v>
      </c>
      <c r="S119" s="181" t="s">
        <v>515</v>
      </c>
      <c r="T119" s="181"/>
      <c r="U119" s="36" t="s">
        <v>166</v>
      </c>
    </row>
    <row r="120" spans="1:21" s="203" customFormat="1" hidden="1" x14ac:dyDescent="0.25">
      <c r="A120" s="7" t="s">
        <v>505</v>
      </c>
      <c r="B120" t="s">
        <v>505</v>
      </c>
      <c r="C120" t="s">
        <v>134</v>
      </c>
      <c r="D120" s="191" t="s">
        <v>111</v>
      </c>
      <c r="E120" s="191" t="s">
        <v>93</v>
      </c>
      <c r="F120" s="36">
        <v>44484</v>
      </c>
      <c r="G120" s="204">
        <v>44484</v>
      </c>
      <c r="H120" s="204">
        <v>48154</v>
      </c>
      <c r="I120" s="204"/>
      <c r="J120" s="204" t="s">
        <v>348</v>
      </c>
      <c r="K120" s="204" t="s">
        <v>507</v>
      </c>
      <c r="L120" s="204"/>
      <c r="M120" s="204" t="s">
        <v>508</v>
      </c>
      <c r="N120" s="204"/>
      <c r="O120" s="191" t="s">
        <v>509</v>
      </c>
      <c r="P120" s="204"/>
      <c r="Q120" s="204" t="s">
        <v>510</v>
      </c>
      <c r="R120" s="204">
        <v>48154</v>
      </c>
      <c r="S120" s="205" t="s">
        <v>510</v>
      </c>
      <c r="T120" s="205" t="s">
        <v>166</v>
      </c>
      <c r="U120" s="36"/>
    </row>
    <row r="121" spans="1:21" s="191" customFormat="1" hidden="1" x14ac:dyDescent="0.25">
      <c r="A121" s="7" t="s">
        <v>506</v>
      </c>
      <c r="B121" t="s">
        <v>506</v>
      </c>
      <c r="C121" t="s">
        <v>85</v>
      </c>
      <c r="D121" s="192" t="s">
        <v>86</v>
      </c>
      <c r="E121" s="192" t="s">
        <v>93</v>
      </c>
      <c r="F121" s="36">
        <v>44494</v>
      </c>
      <c r="G121" s="193">
        <v>44494</v>
      </c>
      <c r="H121" s="193">
        <v>48154</v>
      </c>
      <c r="I121" s="193"/>
      <c r="J121" s="193" t="s">
        <v>348</v>
      </c>
      <c r="K121" s="193" t="s">
        <v>507</v>
      </c>
      <c r="L121" s="193"/>
      <c r="M121" s="193" t="s">
        <v>508</v>
      </c>
      <c r="N121" s="193"/>
      <c r="O121" s="192" t="s">
        <v>509</v>
      </c>
      <c r="P121" s="193"/>
      <c r="Q121" s="193" t="s">
        <v>510</v>
      </c>
      <c r="R121" s="193">
        <v>48154</v>
      </c>
      <c r="S121" s="194" t="s">
        <v>510</v>
      </c>
      <c r="T121" s="194" t="s">
        <v>166</v>
      </c>
      <c r="U121" s="36"/>
    </row>
    <row r="122" spans="1:21" hidden="1" x14ac:dyDescent="0.25">
      <c r="A122" s="7" t="s">
        <v>511</v>
      </c>
      <c r="B122" t="s">
        <v>511</v>
      </c>
      <c r="C122" t="s">
        <v>261</v>
      </c>
      <c r="D122" s="34" t="s">
        <v>106</v>
      </c>
      <c r="E122" s="196" t="s">
        <v>58</v>
      </c>
      <c r="F122" s="36">
        <v>44540</v>
      </c>
      <c r="G122" s="36">
        <v>44540</v>
      </c>
      <c r="H122" s="36">
        <v>48210</v>
      </c>
      <c r="I122" s="36"/>
      <c r="J122" s="36" t="s">
        <v>356</v>
      </c>
      <c r="K122" s="36" t="s">
        <v>466</v>
      </c>
      <c r="L122" s="36">
        <v>44920</v>
      </c>
      <c r="M122" s="36" t="s">
        <v>513</v>
      </c>
      <c r="N122" s="36">
        <v>45291</v>
      </c>
      <c r="O122" s="34" t="s">
        <v>514</v>
      </c>
      <c r="P122" s="36">
        <v>45655</v>
      </c>
      <c r="Q122" s="36" t="s">
        <v>512</v>
      </c>
      <c r="R122" s="36">
        <v>48210</v>
      </c>
      <c r="S122" s="197" t="s">
        <v>512</v>
      </c>
      <c r="T122" s="197" t="s">
        <v>166</v>
      </c>
      <c r="U122" s="36" t="s">
        <v>166</v>
      </c>
    </row>
    <row r="123" spans="1:21" s="199" customFormat="1" hidden="1" x14ac:dyDescent="0.25">
      <c r="A123" s="7" t="s">
        <v>517</v>
      </c>
      <c r="B123" t="s">
        <v>517</v>
      </c>
      <c r="C123" s="202" t="s">
        <v>260</v>
      </c>
      <c r="D123" s="199" t="s">
        <v>106</v>
      </c>
      <c r="E123" s="199" t="s">
        <v>93</v>
      </c>
      <c r="F123" s="201">
        <v>44657</v>
      </c>
      <c r="G123" s="201">
        <v>44657</v>
      </c>
      <c r="H123" s="201">
        <v>48322</v>
      </c>
      <c r="I123" s="201">
        <v>44745</v>
      </c>
      <c r="J123" s="201" t="s">
        <v>518</v>
      </c>
      <c r="K123" s="201" t="s">
        <v>166</v>
      </c>
      <c r="L123" s="201" t="s">
        <v>166</v>
      </c>
      <c r="M123" s="201" t="s">
        <v>166</v>
      </c>
      <c r="N123" s="201" t="s">
        <v>166</v>
      </c>
      <c r="O123" s="199" t="s">
        <v>166</v>
      </c>
      <c r="P123" s="201" t="s">
        <v>166</v>
      </c>
      <c r="Q123" s="201" t="s">
        <v>519</v>
      </c>
      <c r="R123" s="201">
        <v>48322</v>
      </c>
      <c r="S123" s="200" t="s">
        <v>519</v>
      </c>
      <c r="T123" s="200"/>
      <c r="U123" s="36" t="s">
        <v>166</v>
      </c>
    </row>
    <row r="124" spans="1:21" hidden="1" x14ac:dyDescent="0.25">
      <c r="A124" s="7" t="s">
        <v>521</v>
      </c>
      <c r="B124" t="s">
        <v>521</v>
      </c>
      <c r="C124" t="s">
        <v>57</v>
      </c>
      <c r="D124" s="34" t="s">
        <v>59</v>
      </c>
      <c r="E124" s="206" t="s">
        <v>93</v>
      </c>
      <c r="F124" s="36">
        <v>44795</v>
      </c>
      <c r="G124" s="36">
        <v>44795</v>
      </c>
      <c r="H124" s="36">
        <v>48462</v>
      </c>
      <c r="I124" s="36"/>
      <c r="J124" s="36" t="s">
        <v>410</v>
      </c>
      <c r="K124" s="36" t="s">
        <v>502</v>
      </c>
      <c r="L124" s="36"/>
      <c r="M124" s="36" t="s">
        <v>503</v>
      </c>
      <c r="N124" s="36"/>
      <c r="O124" s="34" t="s">
        <v>231</v>
      </c>
      <c r="P124" s="36"/>
      <c r="Q124" s="36" t="s">
        <v>523</v>
      </c>
      <c r="R124" s="36">
        <v>48462</v>
      </c>
      <c r="S124" s="207" t="s">
        <v>523</v>
      </c>
      <c r="T124" s="207" t="s">
        <v>166</v>
      </c>
      <c r="U124" s="36"/>
    </row>
    <row r="125" spans="1:21" hidden="1" x14ac:dyDescent="0.25">
      <c r="A125" s="7" t="s">
        <v>522</v>
      </c>
      <c r="B125" t="s">
        <v>522</v>
      </c>
      <c r="C125" t="s">
        <v>261</v>
      </c>
      <c r="D125" s="34" t="s">
        <v>106</v>
      </c>
      <c r="E125" s="206" t="s">
        <v>93</v>
      </c>
      <c r="F125" s="36">
        <v>44797</v>
      </c>
      <c r="G125" s="36">
        <v>44797</v>
      </c>
      <c r="H125" s="36">
        <v>48462</v>
      </c>
      <c r="I125" s="36">
        <v>44885</v>
      </c>
      <c r="J125" s="36" t="s">
        <v>410</v>
      </c>
      <c r="K125" s="36" t="s">
        <v>166</v>
      </c>
      <c r="L125" s="36" t="s">
        <v>166</v>
      </c>
      <c r="M125" s="36" t="s">
        <v>166</v>
      </c>
      <c r="N125" s="36" t="s">
        <v>166</v>
      </c>
      <c r="O125" s="34" t="s">
        <v>166</v>
      </c>
      <c r="P125" s="36" t="s">
        <v>166</v>
      </c>
      <c r="Q125" s="36" t="s">
        <v>523</v>
      </c>
      <c r="R125" s="36">
        <v>48462</v>
      </c>
      <c r="S125" s="207" t="s">
        <v>523</v>
      </c>
      <c r="T125" s="207" t="s">
        <v>166</v>
      </c>
      <c r="U125" s="36"/>
    </row>
    <row r="126" spans="1:21" hidden="1" x14ac:dyDescent="0.25">
      <c r="A126" t="s">
        <v>525</v>
      </c>
      <c r="B126" t="s">
        <v>525</v>
      </c>
      <c r="C126" t="s">
        <v>260</v>
      </c>
      <c r="D126" s="214" t="s">
        <v>106</v>
      </c>
      <c r="E126" s="215" t="s">
        <v>93</v>
      </c>
      <c r="F126" s="36">
        <v>44909</v>
      </c>
      <c r="G126" s="36">
        <v>44909</v>
      </c>
      <c r="H126" s="36">
        <v>48574</v>
      </c>
      <c r="I126" s="36"/>
      <c r="J126" s="36"/>
      <c r="K126" s="36"/>
      <c r="L126" s="36"/>
      <c r="M126" s="36"/>
      <c r="N126" s="36"/>
      <c r="O126" s="34"/>
      <c r="P126" s="36"/>
      <c r="Q126" s="36"/>
      <c r="R126" s="36"/>
      <c r="S126" s="213"/>
      <c r="T126" s="213"/>
      <c r="U126" s="36"/>
    </row>
    <row r="127" spans="1:21" hidden="1" x14ac:dyDescent="0.25">
      <c r="A127" t="s">
        <v>526</v>
      </c>
      <c r="B127" t="s">
        <v>526</v>
      </c>
      <c r="C127" t="s">
        <v>529</v>
      </c>
      <c r="D127" s="214" t="s">
        <v>456</v>
      </c>
      <c r="E127" s="215" t="s">
        <v>93</v>
      </c>
      <c r="F127" s="36">
        <v>44910</v>
      </c>
      <c r="G127" s="36">
        <v>44910</v>
      </c>
      <c r="H127" s="36">
        <v>48574</v>
      </c>
      <c r="I127" s="36"/>
      <c r="J127" s="36"/>
      <c r="K127" s="36"/>
      <c r="L127" s="36"/>
      <c r="M127" s="36"/>
      <c r="N127" s="36"/>
      <c r="O127" s="34"/>
      <c r="P127" s="36"/>
      <c r="Q127" s="36"/>
      <c r="R127" s="36"/>
      <c r="S127" s="213"/>
      <c r="T127" s="213"/>
      <c r="U127" s="36"/>
    </row>
    <row r="128" spans="1:21" hidden="1" x14ac:dyDescent="0.25">
      <c r="A128" s="7" t="s">
        <v>535</v>
      </c>
      <c r="B128" t="s">
        <v>535</v>
      </c>
      <c r="C128" t="s">
        <v>57</v>
      </c>
      <c r="D128" s="220" t="s">
        <v>59</v>
      </c>
      <c r="E128" s="221" t="s">
        <v>93</v>
      </c>
      <c r="F128" s="36">
        <v>44998</v>
      </c>
      <c r="G128" s="36">
        <v>44998</v>
      </c>
      <c r="H128" s="36">
        <v>48658</v>
      </c>
      <c r="I128" s="36"/>
      <c r="J128" s="36"/>
      <c r="K128" s="36"/>
      <c r="L128" s="36"/>
      <c r="M128" s="36"/>
      <c r="N128" s="36"/>
      <c r="O128" s="34"/>
      <c r="P128" s="36"/>
      <c r="Q128" s="36"/>
      <c r="R128" s="36"/>
      <c r="S128" s="222"/>
      <c r="T128" s="222"/>
      <c r="U128" s="36"/>
    </row>
    <row r="129" spans="1:26" s="39" customFormat="1" hidden="1" x14ac:dyDescent="0.25">
      <c r="A129" s="225" t="s">
        <v>538</v>
      </c>
      <c r="B129" s="226" t="s">
        <v>538</v>
      </c>
      <c r="C129" s="27" t="s">
        <v>557</v>
      </c>
      <c r="D129" s="235" t="s">
        <v>545</v>
      </c>
      <c r="E129" s="227" t="s">
        <v>93</v>
      </c>
      <c r="F129" s="228"/>
      <c r="G129" s="229">
        <v>45279</v>
      </c>
      <c r="H129" s="229">
        <v>45279</v>
      </c>
      <c r="I129" s="229"/>
      <c r="J129" s="229"/>
      <c r="K129" s="229"/>
      <c r="L129" s="229"/>
      <c r="M129" s="229"/>
      <c r="N129" s="229"/>
      <c r="O129" s="227"/>
      <c r="P129" s="229"/>
      <c r="Q129" s="229"/>
      <c r="R129" s="229">
        <v>48932</v>
      </c>
      <c r="S129" s="230"/>
      <c r="T129" s="230"/>
      <c r="U129" s="228"/>
      <c r="X129" s="225"/>
      <c r="Y129" s="225"/>
      <c r="Z129" s="225"/>
    </row>
    <row r="130" spans="1:26" hidden="1" x14ac:dyDescent="0.25">
      <c r="A130" t="s">
        <v>542</v>
      </c>
      <c r="B130" t="s">
        <v>542</v>
      </c>
      <c r="C130" t="s">
        <v>543</v>
      </c>
      <c r="D130" s="234" t="s">
        <v>544</v>
      </c>
      <c r="E130" s="232" t="s">
        <v>93</v>
      </c>
      <c r="F130" s="36"/>
      <c r="G130" s="36">
        <v>45349</v>
      </c>
      <c r="H130" s="36">
        <v>45349</v>
      </c>
      <c r="I130" s="36" t="s">
        <v>166</v>
      </c>
      <c r="J130" s="36"/>
      <c r="K130" s="36" t="s">
        <v>540</v>
      </c>
      <c r="L130" s="36" t="s">
        <v>541</v>
      </c>
      <c r="M130" s="36">
        <v>45739</v>
      </c>
      <c r="N130" s="36" t="s">
        <v>217</v>
      </c>
      <c r="O130" s="34">
        <v>46103</v>
      </c>
      <c r="P130" s="36" t="s">
        <v>386</v>
      </c>
      <c r="Q130" s="36" t="s">
        <v>166</v>
      </c>
      <c r="R130" s="36"/>
      <c r="S130" s="233" t="s">
        <v>386</v>
      </c>
      <c r="T130" s="233"/>
      <c r="U130" s="36" t="s">
        <v>166</v>
      </c>
    </row>
    <row r="131" spans="1:26" hidden="1" x14ac:dyDescent="0.25">
      <c r="A131" s="240" t="s">
        <v>569</v>
      </c>
      <c r="B131" s="240" t="s">
        <v>569</v>
      </c>
      <c r="C131" s="243" t="s">
        <v>594</v>
      </c>
      <c r="D131" s="241" t="s">
        <v>593</v>
      </c>
      <c r="E131" s="232" t="s">
        <v>93</v>
      </c>
      <c r="F131" s="7">
        <v>45943</v>
      </c>
      <c r="G131" s="36"/>
      <c r="H131" s="36"/>
      <c r="I131" s="36"/>
      <c r="J131" s="36"/>
      <c r="K131" s="36"/>
      <c r="L131" s="36"/>
      <c r="M131" s="36"/>
      <c r="N131" s="36"/>
      <c r="O131" s="34"/>
      <c r="P131" s="36"/>
      <c r="Q131" s="36"/>
      <c r="R131" s="36"/>
      <c r="S131" s="242"/>
      <c r="T131" s="242"/>
      <c r="U131" s="36"/>
    </row>
    <row r="132" spans="1:26" hidden="1" x14ac:dyDescent="0.25">
      <c r="A132" s="240" t="s">
        <v>570</v>
      </c>
      <c r="B132" s="240" t="s">
        <v>570</v>
      </c>
      <c r="C132" s="243" t="s">
        <v>594</v>
      </c>
      <c r="D132" s="241" t="s">
        <v>593</v>
      </c>
      <c r="E132" s="232" t="s">
        <v>93</v>
      </c>
      <c r="F132" s="7">
        <v>45943</v>
      </c>
      <c r="G132" s="36"/>
      <c r="H132" s="36"/>
      <c r="I132" s="36"/>
      <c r="J132" s="36"/>
      <c r="K132" s="36"/>
      <c r="L132" s="36"/>
      <c r="M132" s="36"/>
      <c r="N132" s="36"/>
      <c r="O132" s="34"/>
      <c r="P132" s="36"/>
      <c r="Q132" s="36"/>
      <c r="R132" s="36"/>
      <c r="S132" s="242"/>
      <c r="T132" s="242"/>
      <c r="U132" s="36"/>
    </row>
    <row r="133" spans="1:26" hidden="1" x14ac:dyDescent="0.25">
      <c r="A133" s="240" t="s">
        <v>571</v>
      </c>
      <c r="B133" s="240" t="s">
        <v>571</v>
      </c>
      <c r="C133" s="243" t="s">
        <v>594</v>
      </c>
      <c r="D133" s="241" t="s">
        <v>593</v>
      </c>
      <c r="E133" s="232" t="s">
        <v>93</v>
      </c>
      <c r="F133" s="7">
        <v>45943</v>
      </c>
      <c r="G133" s="36"/>
      <c r="H133" s="36"/>
      <c r="I133" s="36"/>
      <c r="J133" s="36"/>
      <c r="K133" s="36"/>
      <c r="L133" s="36"/>
      <c r="M133" s="36"/>
      <c r="N133" s="36"/>
      <c r="O133" s="34"/>
      <c r="P133" s="36"/>
      <c r="Q133" s="36"/>
      <c r="R133" s="36"/>
      <c r="S133" s="242"/>
      <c r="T133" s="242"/>
      <c r="U133" s="36"/>
    </row>
    <row r="134" spans="1:26" hidden="1" x14ac:dyDescent="0.25">
      <c r="A134" s="240" t="s">
        <v>572</v>
      </c>
      <c r="B134" s="240" t="s">
        <v>572</v>
      </c>
      <c r="C134" s="243" t="s">
        <v>594</v>
      </c>
      <c r="D134" s="241" t="s">
        <v>593</v>
      </c>
      <c r="E134" s="232" t="s">
        <v>93</v>
      </c>
      <c r="F134" s="7">
        <v>45943</v>
      </c>
      <c r="G134" s="36"/>
      <c r="H134" s="36"/>
      <c r="I134" s="36"/>
      <c r="J134" s="36"/>
      <c r="K134" s="36"/>
      <c r="L134" s="36"/>
      <c r="M134" s="36"/>
      <c r="N134" s="36"/>
      <c r="O134" s="34"/>
      <c r="P134" s="36"/>
      <c r="Q134" s="36"/>
      <c r="R134" s="36"/>
      <c r="S134" s="242"/>
      <c r="T134" s="242"/>
      <c r="U134" s="36"/>
    </row>
    <row r="135" spans="1:26" hidden="1" x14ac:dyDescent="0.25">
      <c r="A135" s="240" t="s">
        <v>573</v>
      </c>
      <c r="B135" s="240" t="s">
        <v>573</v>
      </c>
      <c r="C135" s="243" t="s">
        <v>594</v>
      </c>
      <c r="D135" s="241" t="s">
        <v>593</v>
      </c>
      <c r="E135" s="232" t="s">
        <v>93</v>
      </c>
      <c r="F135" s="7">
        <v>45943</v>
      </c>
      <c r="G135" s="36"/>
      <c r="H135" s="36"/>
      <c r="I135" s="36"/>
      <c r="J135" s="36"/>
      <c r="K135" s="36"/>
      <c r="L135" s="36"/>
      <c r="M135" s="36"/>
      <c r="N135" s="36"/>
      <c r="O135" s="34"/>
      <c r="P135" s="36"/>
      <c r="Q135" s="36"/>
      <c r="R135" s="36"/>
      <c r="S135" s="242"/>
      <c r="T135" s="242"/>
      <c r="U135" s="36"/>
    </row>
    <row r="136" spans="1:26" hidden="1" x14ac:dyDescent="0.25">
      <c r="A136" s="240" t="s">
        <v>574</v>
      </c>
      <c r="B136" s="240" t="s">
        <v>574</v>
      </c>
      <c r="C136" s="243" t="s">
        <v>594</v>
      </c>
      <c r="D136" s="241" t="s">
        <v>593</v>
      </c>
      <c r="E136" s="232" t="s">
        <v>93</v>
      </c>
      <c r="F136" s="7">
        <v>45943</v>
      </c>
      <c r="G136" s="36"/>
      <c r="H136" s="36"/>
      <c r="I136" s="36"/>
      <c r="J136" s="36"/>
      <c r="K136" s="36"/>
      <c r="L136" s="36"/>
      <c r="M136" s="36"/>
      <c r="N136" s="36"/>
      <c r="O136" s="34"/>
      <c r="P136" s="36"/>
      <c r="Q136" s="36"/>
      <c r="R136" s="36"/>
      <c r="S136" s="242"/>
      <c r="T136" s="242"/>
      <c r="U136" s="36"/>
    </row>
    <row r="137" spans="1:26" hidden="1" x14ac:dyDescent="0.25">
      <c r="A137" s="240" t="s">
        <v>575</v>
      </c>
      <c r="B137" s="240" t="s">
        <v>575</v>
      </c>
      <c r="C137" s="243" t="s">
        <v>594</v>
      </c>
      <c r="D137" s="241" t="s">
        <v>593</v>
      </c>
      <c r="E137" s="232" t="s">
        <v>93</v>
      </c>
      <c r="F137" s="7">
        <v>45943</v>
      </c>
      <c r="G137" s="36"/>
      <c r="H137" s="36"/>
      <c r="I137" s="36"/>
      <c r="J137" s="36"/>
      <c r="K137" s="36"/>
      <c r="L137" s="36"/>
      <c r="M137" s="36"/>
      <c r="N137" s="36"/>
      <c r="O137" s="34"/>
      <c r="P137" s="36"/>
      <c r="Q137" s="36"/>
      <c r="R137" s="36"/>
      <c r="S137" s="242"/>
      <c r="T137" s="242"/>
      <c r="U137" s="36"/>
    </row>
    <row r="138" spans="1:26" hidden="1" x14ac:dyDescent="0.25">
      <c r="A138" s="240" t="s">
        <v>576</v>
      </c>
      <c r="B138" s="240" t="s">
        <v>576</v>
      </c>
      <c r="C138" s="243" t="s">
        <v>594</v>
      </c>
      <c r="D138" s="241" t="s">
        <v>593</v>
      </c>
      <c r="E138" s="232" t="s">
        <v>93</v>
      </c>
      <c r="F138" s="7">
        <v>45943</v>
      </c>
      <c r="G138" s="36"/>
      <c r="H138" s="36"/>
      <c r="I138" s="36"/>
      <c r="J138" s="36"/>
      <c r="K138" s="36"/>
      <c r="L138" s="36"/>
      <c r="M138" s="36"/>
      <c r="N138" s="36"/>
      <c r="O138" s="34"/>
      <c r="P138" s="36"/>
      <c r="Q138" s="36"/>
      <c r="R138" s="36"/>
      <c r="S138" s="242"/>
      <c r="T138" s="242"/>
      <c r="U138" s="36"/>
    </row>
    <row r="139" spans="1:26" hidden="1" x14ac:dyDescent="0.25">
      <c r="A139" s="240" t="s">
        <v>577</v>
      </c>
      <c r="B139" s="240" t="s">
        <v>577</v>
      </c>
      <c r="C139" s="243" t="s">
        <v>594</v>
      </c>
      <c r="D139" s="241" t="s">
        <v>593</v>
      </c>
      <c r="E139" s="232" t="s">
        <v>93</v>
      </c>
      <c r="F139" s="7">
        <v>45943</v>
      </c>
      <c r="G139" s="36"/>
      <c r="H139" s="36"/>
      <c r="I139" s="36"/>
      <c r="J139" s="36"/>
      <c r="K139" s="36"/>
      <c r="L139" s="36"/>
      <c r="M139" s="36"/>
      <c r="N139" s="36"/>
      <c r="O139" s="34"/>
      <c r="P139" s="36"/>
      <c r="Q139" s="36"/>
      <c r="R139" s="36"/>
      <c r="S139" s="242"/>
      <c r="T139" s="242"/>
      <c r="U139" s="36"/>
    </row>
    <row r="140" spans="1:26" hidden="1" x14ac:dyDescent="0.25">
      <c r="A140" s="240" t="s">
        <v>578</v>
      </c>
      <c r="B140" s="240" t="s">
        <v>578</v>
      </c>
      <c r="C140" s="243" t="s">
        <v>594</v>
      </c>
      <c r="D140" s="241" t="s">
        <v>593</v>
      </c>
      <c r="E140" s="232" t="s">
        <v>93</v>
      </c>
      <c r="F140" s="7">
        <v>45943</v>
      </c>
      <c r="G140" s="36"/>
      <c r="H140" s="36"/>
      <c r="I140" s="36"/>
      <c r="J140" s="36"/>
      <c r="K140" s="36"/>
      <c r="L140" s="36"/>
      <c r="M140" s="36"/>
      <c r="N140" s="36"/>
      <c r="O140" s="34"/>
      <c r="P140" s="36"/>
      <c r="Q140" s="36"/>
      <c r="R140" s="36"/>
      <c r="S140" s="242"/>
      <c r="T140" s="242"/>
      <c r="U140" s="36"/>
    </row>
    <row r="141" spans="1:26" hidden="1" x14ac:dyDescent="0.25">
      <c r="A141" s="240" t="s">
        <v>579</v>
      </c>
      <c r="B141" s="240" t="s">
        <v>579</v>
      </c>
      <c r="C141" s="243" t="s">
        <v>594</v>
      </c>
      <c r="D141" s="241" t="s">
        <v>593</v>
      </c>
      <c r="E141" s="232" t="s">
        <v>93</v>
      </c>
      <c r="F141" s="7">
        <v>45943</v>
      </c>
      <c r="G141" s="36"/>
      <c r="H141" s="36"/>
      <c r="I141" s="36"/>
      <c r="J141" s="36"/>
      <c r="K141" s="36"/>
      <c r="L141" s="36"/>
      <c r="M141" s="36"/>
      <c r="N141" s="36"/>
      <c r="O141" s="34"/>
      <c r="P141" s="36"/>
      <c r="Q141" s="36"/>
      <c r="R141" s="36"/>
      <c r="S141" s="242"/>
      <c r="T141" s="242"/>
      <c r="U141" s="36"/>
    </row>
    <row r="142" spans="1:26" hidden="1" x14ac:dyDescent="0.25">
      <c r="A142" s="240" t="s">
        <v>580</v>
      </c>
      <c r="B142" s="240" t="s">
        <v>580</v>
      </c>
      <c r="C142" s="243" t="s">
        <v>594</v>
      </c>
      <c r="D142" s="241" t="s">
        <v>593</v>
      </c>
      <c r="E142" s="232" t="s">
        <v>93</v>
      </c>
      <c r="F142" s="7">
        <v>45943</v>
      </c>
      <c r="G142" s="36"/>
      <c r="H142" s="36"/>
      <c r="I142" s="36"/>
      <c r="J142" s="36"/>
      <c r="K142" s="36"/>
      <c r="L142" s="36"/>
      <c r="M142" s="36"/>
      <c r="N142" s="36"/>
      <c r="O142" s="34"/>
      <c r="P142" s="36"/>
      <c r="Q142" s="36"/>
      <c r="R142" s="36"/>
      <c r="S142" s="242"/>
      <c r="T142" s="242"/>
      <c r="U142" s="36"/>
    </row>
    <row r="143" spans="1:26" hidden="1" x14ac:dyDescent="0.25">
      <c r="A143" s="240" t="s">
        <v>581</v>
      </c>
      <c r="B143" s="240" t="s">
        <v>581</v>
      </c>
      <c r="C143" s="243" t="s">
        <v>594</v>
      </c>
      <c r="D143" s="241" t="s">
        <v>593</v>
      </c>
      <c r="E143" s="232" t="s">
        <v>93</v>
      </c>
      <c r="F143" s="7">
        <v>45943</v>
      </c>
      <c r="G143" s="36"/>
      <c r="H143" s="36"/>
      <c r="I143" s="36"/>
      <c r="J143" s="36"/>
      <c r="K143" s="36"/>
      <c r="L143" s="36"/>
      <c r="M143" s="36"/>
      <c r="N143" s="36"/>
      <c r="O143" s="34"/>
      <c r="P143" s="36"/>
      <c r="Q143" s="36"/>
      <c r="R143" s="36"/>
      <c r="S143" s="242"/>
      <c r="T143" s="242"/>
      <c r="U143" s="36"/>
    </row>
    <row r="144" spans="1:26" hidden="1" x14ac:dyDescent="0.25">
      <c r="A144" s="240" t="s">
        <v>582</v>
      </c>
      <c r="B144" s="240" t="s">
        <v>582</v>
      </c>
      <c r="C144" s="243" t="s">
        <v>594</v>
      </c>
      <c r="D144" s="241" t="s">
        <v>593</v>
      </c>
      <c r="E144" s="232" t="s">
        <v>93</v>
      </c>
      <c r="F144" s="7">
        <v>45943</v>
      </c>
      <c r="G144" s="36"/>
      <c r="H144" s="36"/>
      <c r="I144" s="36"/>
      <c r="J144" s="36"/>
      <c r="K144" s="36"/>
      <c r="L144" s="36"/>
      <c r="M144" s="36"/>
      <c r="N144" s="36"/>
      <c r="O144" s="34"/>
      <c r="P144" s="36"/>
      <c r="Q144" s="36"/>
      <c r="R144" s="36"/>
      <c r="S144" s="242"/>
      <c r="T144" s="242"/>
      <c r="U144" s="36"/>
    </row>
    <row r="145" spans="1:21" hidden="1" x14ac:dyDescent="0.25">
      <c r="A145" s="240" t="s">
        <v>583</v>
      </c>
      <c r="B145" s="240" t="s">
        <v>583</v>
      </c>
      <c r="C145" s="243" t="s">
        <v>594</v>
      </c>
      <c r="D145" s="241" t="s">
        <v>593</v>
      </c>
      <c r="E145" s="232" t="s">
        <v>93</v>
      </c>
      <c r="F145" s="7">
        <v>45943</v>
      </c>
      <c r="G145" s="36"/>
      <c r="H145" s="36"/>
      <c r="I145" s="36"/>
      <c r="J145" s="36"/>
      <c r="K145" s="36"/>
      <c r="L145" s="36"/>
      <c r="M145" s="36"/>
      <c r="N145" s="36"/>
      <c r="O145" s="34"/>
      <c r="P145" s="36"/>
      <c r="Q145" s="36"/>
      <c r="R145" s="36"/>
      <c r="S145" s="242"/>
      <c r="T145" s="242"/>
      <c r="U145" s="36"/>
    </row>
    <row r="146" spans="1:21" hidden="1" x14ac:dyDescent="0.25">
      <c r="A146" s="240" t="s">
        <v>584</v>
      </c>
      <c r="B146" s="240" t="s">
        <v>584</v>
      </c>
      <c r="C146" s="243" t="s">
        <v>594</v>
      </c>
      <c r="D146" s="241" t="s">
        <v>593</v>
      </c>
      <c r="E146" s="232" t="s">
        <v>93</v>
      </c>
      <c r="F146" s="7">
        <v>45943</v>
      </c>
      <c r="G146" s="36"/>
      <c r="H146" s="36"/>
      <c r="I146" s="36"/>
      <c r="J146" s="36"/>
      <c r="K146" s="36"/>
      <c r="L146" s="36"/>
      <c r="M146" s="36"/>
      <c r="N146" s="36"/>
      <c r="O146" s="34"/>
      <c r="P146" s="36"/>
      <c r="Q146" s="36"/>
      <c r="R146" s="36"/>
      <c r="S146" s="242"/>
      <c r="T146" s="242"/>
      <c r="U146" s="36"/>
    </row>
    <row r="147" spans="1:21" hidden="1" x14ac:dyDescent="0.25">
      <c r="A147" s="240" t="s">
        <v>585</v>
      </c>
      <c r="B147" s="240" t="s">
        <v>585</v>
      </c>
      <c r="C147" s="243" t="s">
        <v>594</v>
      </c>
      <c r="D147" s="241" t="s">
        <v>593</v>
      </c>
      <c r="E147" s="232" t="s">
        <v>93</v>
      </c>
      <c r="F147" s="7">
        <v>45943</v>
      </c>
      <c r="G147" s="36"/>
      <c r="H147" s="36"/>
      <c r="I147" s="36"/>
      <c r="J147" s="36"/>
      <c r="K147" s="36"/>
      <c r="L147" s="36"/>
      <c r="M147" s="36"/>
      <c r="N147" s="36"/>
      <c r="O147" s="34"/>
      <c r="P147" s="36"/>
      <c r="Q147" s="36"/>
      <c r="R147" s="36"/>
      <c r="S147" s="242"/>
      <c r="T147" s="242"/>
      <c r="U147" s="36"/>
    </row>
    <row r="148" spans="1:21" hidden="1" x14ac:dyDescent="0.25">
      <c r="A148" s="240" t="s">
        <v>586</v>
      </c>
      <c r="B148" s="240" t="s">
        <v>586</v>
      </c>
      <c r="C148" s="243" t="s">
        <v>594</v>
      </c>
      <c r="D148" s="241" t="s">
        <v>593</v>
      </c>
      <c r="E148" s="232" t="s">
        <v>93</v>
      </c>
      <c r="F148" s="7">
        <v>45943</v>
      </c>
      <c r="G148" s="36"/>
      <c r="H148" s="36"/>
      <c r="I148" s="36"/>
      <c r="J148" s="36"/>
      <c r="K148" s="36"/>
      <c r="L148" s="36"/>
      <c r="M148" s="36"/>
      <c r="N148" s="36"/>
      <c r="O148" s="34"/>
      <c r="P148" s="36"/>
      <c r="Q148" s="36"/>
      <c r="R148" s="36"/>
      <c r="S148" s="242"/>
      <c r="T148" s="242"/>
      <c r="U148" s="36"/>
    </row>
    <row r="149" spans="1:21" hidden="1" x14ac:dyDescent="0.25">
      <c r="A149" s="240" t="s">
        <v>587</v>
      </c>
      <c r="B149" s="240" t="s">
        <v>587</v>
      </c>
      <c r="C149" s="243" t="s">
        <v>594</v>
      </c>
      <c r="D149" s="241" t="s">
        <v>593</v>
      </c>
      <c r="E149" s="232" t="s">
        <v>93</v>
      </c>
      <c r="F149" s="7">
        <v>45943</v>
      </c>
      <c r="G149" s="36"/>
      <c r="H149" s="36"/>
      <c r="I149" s="36"/>
      <c r="J149" s="36"/>
      <c r="K149" s="36"/>
      <c r="L149" s="36"/>
      <c r="M149" s="36"/>
      <c r="N149" s="36"/>
      <c r="O149" s="34"/>
      <c r="P149" s="36"/>
      <c r="Q149" s="36"/>
      <c r="R149" s="36"/>
      <c r="S149" s="242"/>
      <c r="T149" s="242"/>
      <c r="U149" s="36"/>
    </row>
    <row r="150" spans="1:21" hidden="1" x14ac:dyDescent="0.25">
      <c r="A150" s="240" t="s">
        <v>588</v>
      </c>
      <c r="B150" s="240" t="s">
        <v>588</v>
      </c>
      <c r="C150" s="243" t="s">
        <v>594</v>
      </c>
      <c r="D150" s="241" t="s">
        <v>593</v>
      </c>
      <c r="E150" s="232" t="s">
        <v>93</v>
      </c>
      <c r="F150" s="7">
        <v>45943</v>
      </c>
      <c r="G150" s="36"/>
      <c r="H150" s="36"/>
      <c r="I150" s="36"/>
      <c r="J150" s="36"/>
      <c r="K150" s="36"/>
      <c r="L150" s="36"/>
      <c r="M150" s="36"/>
      <c r="N150" s="36"/>
      <c r="O150" s="34"/>
      <c r="P150" s="36"/>
      <c r="Q150" s="36"/>
      <c r="R150" s="36"/>
      <c r="S150" s="242"/>
      <c r="T150" s="242"/>
      <c r="U150" s="36"/>
    </row>
    <row r="151" spans="1:21" hidden="1" x14ac:dyDescent="0.25">
      <c r="A151" s="240" t="s">
        <v>589</v>
      </c>
      <c r="B151" s="240" t="s">
        <v>589</v>
      </c>
      <c r="C151" s="243" t="s">
        <v>594</v>
      </c>
      <c r="D151" s="241" t="s">
        <v>593</v>
      </c>
      <c r="E151" s="232" t="s">
        <v>93</v>
      </c>
      <c r="F151" s="7">
        <v>45943</v>
      </c>
      <c r="G151" s="36"/>
      <c r="H151" s="36"/>
      <c r="I151" s="36"/>
      <c r="J151" s="36"/>
      <c r="K151" s="36"/>
      <c r="L151" s="36"/>
      <c r="M151" s="36"/>
      <c r="N151" s="36"/>
      <c r="O151" s="34"/>
      <c r="P151" s="36"/>
      <c r="Q151" s="36"/>
      <c r="R151" s="36"/>
      <c r="S151" s="242"/>
      <c r="T151" s="242"/>
      <c r="U151" s="36"/>
    </row>
    <row r="152" spans="1:21" x14ac:dyDescent="0.25">
      <c r="A152" s="240" t="s">
        <v>590</v>
      </c>
      <c r="B152" s="240" t="s">
        <v>590</v>
      </c>
      <c r="C152" s="243" t="s">
        <v>594</v>
      </c>
      <c r="D152" s="241" t="s">
        <v>593</v>
      </c>
      <c r="E152" s="232" t="s">
        <v>93</v>
      </c>
      <c r="F152" s="7">
        <v>45943</v>
      </c>
      <c r="G152" s="36"/>
      <c r="H152" s="36"/>
      <c r="I152" s="36"/>
      <c r="J152" s="36"/>
      <c r="K152" s="36"/>
      <c r="L152" s="36"/>
      <c r="M152" s="36"/>
      <c r="N152" s="36"/>
      <c r="O152" s="34"/>
      <c r="P152" s="36"/>
      <c r="Q152" s="36"/>
      <c r="R152" s="36"/>
      <c r="S152" s="242"/>
      <c r="T152" s="242"/>
      <c r="U152" s="36"/>
    </row>
    <row r="153" spans="1:21" hidden="1" x14ac:dyDescent="0.25">
      <c r="A153" s="240" t="s">
        <v>591</v>
      </c>
      <c r="B153" s="240" t="s">
        <v>591</v>
      </c>
      <c r="C153" s="243" t="s">
        <v>594</v>
      </c>
      <c r="D153" s="241" t="s">
        <v>593</v>
      </c>
      <c r="E153" s="232" t="s">
        <v>93</v>
      </c>
      <c r="F153" s="7">
        <v>45943</v>
      </c>
      <c r="G153" s="36"/>
      <c r="H153" s="36"/>
      <c r="I153" s="36"/>
      <c r="J153" s="36"/>
      <c r="K153" s="36"/>
      <c r="L153" s="36"/>
      <c r="M153" s="36"/>
      <c r="N153" s="36"/>
      <c r="O153" s="34"/>
      <c r="P153" s="36"/>
      <c r="Q153" s="36"/>
      <c r="R153" s="36"/>
      <c r="S153" s="242"/>
      <c r="T153" s="242"/>
      <c r="U153" s="36"/>
    </row>
    <row r="154" spans="1:21" hidden="1" x14ac:dyDescent="0.25">
      <c r="A154" s="240" t="s">
        <v>592</v>
      </c>
      <c r="B154" s="240" t="s">
        <v>592</v>
      </c>
      <c r="C154" s="243" t="s">
        <v>594</v>
      </c>
      <c r="D154" s="241" t="s">
        <v>593</v>
      </c>
      <c r="E154" s="232" t="s">
        <v>93</v>
      </c>
      <c r="F154" s="7">
        <v>45943</v>
      </c>
      <c r="G154" s="36"/>
      <c r="H154" s="36"/>
      <c r="I154" s="36"/>
      <c r="J154" s="36"/>
      <c r="K154" s="36"/>
      <c r="L154" s="36"/>
      <c r="M154" s="36"/>
      <c r="N154" s="36"/>
      <c r="O154" s="34"/>
      <c r="P154" s="36"/>
      <c r="Q154" s="36"/>
      <c r="R154" s="36"/>
      <c r="S154" s="242"/>
      <c r="T154" s="242"/>
      <c r="U154" s="36"/>
    </row>
    <row r="155" spans="1:21" x14ac:dyDescent="0.25">
      <c r="A155" t="s">
        <v>281</v>
      </c>
      <c r="B155" t="s">
        <v>281</v>
      </c>
      <c r="C155" t="s">
        <v>596</v>
      </c>
      <c r="D155" t="s">
        <v>597</v>
      </c>
      <c r="E155" t="s">
        <v>93</v>
      </c>
      <c r="F155" s="7">
        <v>43010</v>
      </c>
      <c r="G155" s="7">
        <v>46166</v>
      </c>
      <c r="H155" s="7">
        <v>46166</v>
      </c>
      <c r="J155" s="7" t="s">
        <v>598</v>
      </c>
      <c r="K155" s="7" t="s">
        <v>166</v>
      </c>
      <c r="L155" s="7" t="s">
        <v>166</v>
      </c>
      <c r="M155" t="s">
        <v>166</v>
      </c>
      <c r="N155" s="7">
        <v>46166</v>
      </c>
      <c r="O155" t="s">
        <v>166</v>
      </c>
      <c r="P155" t="s">
        <v>599</v>
      </c>
      <c r="R155" s="7">
        <v>49819</v>
      </c>
      <c r="T155" t="s">
        <v>166</v>
      </c>
    </row>
    <row r="159" spans="1:21" x14ac:dyDescent="0.25">
      <c r="A159" s="237" t="s">
        <v>560</v>
      </c>
    </row>
    <row r="160" spans="1:21" x14ac:dyDescent="0.25">
      <c r="A160" s="237" t="s">
        <v>561</v>
      </c>
    </row>
    <row r="161" spans="1:1" x14ac:dyDescent="0.25">
      <c r="A161" s="237"/>
    </row>
    <row r="162" spans="1:1" x14ac:dyDescent="0.25">
      <c r="A162" s="238" t="s">
        <v>562</v>
      </c>
    </row>
    <row r="163" spans="1:1" x14ac:dyDescent="0.25">
      <c r="A163" s="238" t="s">
        <v>563</v>
      </c>
    </row>
    <row r="164" spans="1:1" x14ac:dyDescent="0.25">
      <c r="A164" s="238" t="s">
        <v>564</v>
      </c>
    </row>
    <row r="165" spans="1:1" x14ac:dyDescent="0.25">
      <c r="A165" s="238" t="s">
        <v>565</v>
      </c>
    </row>
    <row r="166" spans="1:1" x14ac:dyDescent="0.25">
      <c r="A166" s="238" t="s">
        <v>566</v>
      </c>
    </row>
  </sheetData>
  <mergeCells count="2">
    <mergeCell ref="I3:R3"/>
    <mergeCell ref="A3:H3"/>
  </mergeCells>
  <phoneticPr fontId="92" type="noConversion"/>
  <pageMargins left="0.7" right="0.7" top="0.75" bottom="0.75" header="0.3" footer="0.3"/>
  <pageSetup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D72D-C3A4-4718-8F62-4EA43F4E9512}">
  <sheetPr codeName="Sheet3">
    <tabColor theme="4" tint="-0.249977111117893"/>
  </sheetPr>
  <dimension ref="A1:E61"/>
  <sheetViews>
    <sheetView workbookViewId="0"/>
  </sheetViews>
  <sheetFormatPr defaultRowHeight="15" x14ac:dyDescent="0.25"/>
  <cols>
    <col min="1" max="1" width="10.5703125" bestFit="1" customWidth="1"/>
    <col min="2" max="2" width="16" customWidth="1"/>
    <col min="3" max="3" width="18" bestFit="1" customWidth="1"/>
    <col min="4" max="4" width="13.42578125" customWidth="1"/>
    <col min="5" max="5" width="11.85546875" customWidth="1"/>
  </cols>
  <sheetData>
    <row r="1" spans="1:5" x14ac:dyDescent="0.25">
      <c r="A1" s="56" t="s">
        <v>0</v>
      </c>
      <c r="B1" s="56" t="s">
        <v>1</v>
      </c>
      <c r="C1" s="56" t="s">
        <v>2</v>
      </c>
      <c r="D1" s="56" t="s">
        <v>127</v>
      </c>
      <c r="E1" s="56" t="s">
        <v>128</v>
      </c>
    </row>
    <row r="2" spans="1:5" x14ac:dyDescent="0.25">
      <c r="A2" s="55">
        <v>43252</v>
      </c>
      <c r="B2" s="53"/>
      <c r="C2" s="53" t="s">
        <v>328</v>
      </c>
      <c r="D2" s="54">
        <v>331.85</v>
      </c>
      <c r="E2" s="54">
        <v>144.85</v>
      </c>
    </row>
    <row r="3" spans="1:5" x14ac:dyDescent="0.25">
      <c r="A3" s="55">
        <v>43262</v>
      </c>
      <c r="B3" s="53"/>
      <c r="C3" s="53" t="s">
        <v>328</v>
      </c>
      <c r="D3" s="54">
        <v>500.56</v>
      </c>
      <c r="E3" s="54">
        <v>500.56</v>
      </c>
    </row>
    <row r="4" spans="1:5" x14ac:dyDescent="0.25">
      <c r="A4" s="55">
        <v>43263</v>
      </c>
      <c r="B4" s="53"/>
      <c r="C4" s="53" t="s">
        <v>328</v>
      </c>
      <c r="D4" s="54">
        <v>650.28</v>
      </c>
      <c r="E4" s="54">
        <v>650.28</v>
      </c>
    </row>
    <row r="5" spans="1:5" x14ac:dyDescent="0.25">
      <c r="A5" s="55">
        <v>43266</v>
      </c>
      <c r="B5" s="53"/>
      <c r="C5" s="53" t="s">
        <v>328</v>
      </c>
      <c r="D5" s="54">
        <v>882.2</v>
      </c>
      <c r="E5" s="54">
        <v>0</v>
      </c>
    </row>
    <row r="6" spans="1:5" x14ac:dyDescent="0.25">
      <c r="A6" s="57">
        <v>43267</v>
      </c>
      <c r="B6" s="58"/>
      <c r="C6" s="58" t="s">
        <v>328</v>
      </c>
      <c r="D6" s="59">
        <v>1612.02</v>
      </c>
      <c r="E6" s="59">
        <v>1498.02</v>
      </c>
    </row>
    <row r="7" spans="1:5" x14ac:dyDescent="0.25">
      <c r="A7" s="57">
        <v>43280</v>
      </c>
      <c r="B7" s="58"/>
      <c r="C7" s="58" t="s">
        <v>328</v>
      </c>
      <c r="D7" s="59">
        <v>1604</v>
      </c>
      <c r="E7" s="59">
        <v>1604</v>
      </c>
    </row>
    <row r="8" spans="1:5" x14ac:dyDescent="0.25">
      <c r="A8" s="55">
        <v>43288</v>
      </c>
      <c r="B8" s="53"/>
      <c r="C8" s="53" t="s">
        <v>328</v>
      </c>
      <c r="D8" s="54">
        <v>39.64</v>
      </c>
      <c r="E8" s="54">
        <v>39.64</v>
      </c>
    </row>
    <row r="9" spans="1:5" x14ac:dyDescent="0.25">
      <c r="A9" s="57">
        <v>43302</v>
      </c>
      <c r="B9" s="58"/>
      <c r="C9" s="58" t="s">
        <v>328</v>
      </c>
      <c r="D9" s="59">
        <v>607.22</v>
      </c>
      <c r="E9" s="59">
        <v>607.22</v>
      </c>
    </row>
    <row r="10" spans="1:5" x14ac:dyDescent="0.25">
      <c r="A10" s="57">
        <v>43321</v>
      </c>
      <c r="B10" s="58"/>
      <c r="C10" s="58" t="s">
        <v>328</v>
      </c>
      <c r="D10" s="59">
        <v>1684.2</v>
      </c>
      <c r="E10" s="59">
        <v>1684.2</v>
      </c>
    </row>
    <row r="11" spans="1:5" x14ac:dyDescent="0.25">
      <c r="A11" s="57">
        <v>43350</v>
      </c>
      <c r="B11" s="58"/>
      <c r="C11" s="58" t="s">
        <v>328</v>
      </c>
      <c r="D11" s="59">
        <v>686.55</v>
      </c>
      <c r="E11" s="59">
        <v>686.55</v>
      </c>
    </row>
    <row r="12" spans="1:5" x14ac:dyDescent="0.25">
      <c r="A12" s="57">
        <v>43351</v>
      </c>
      <c r="B12" s="58"/>
      <c r="C12" s="58" t="s">
        <v>328</v>
      </c>
      <c r="D12" s="59">
        <v>718.17</v>
      </c>
      <c r="E12" s="59">
        <v>702.13</v>
      </c>
    </row>
    <row r="13" spans="1:5" x14ac:dyDescent="0.25">
      <c r="A13" s="57">
        <v>43357</v>
      </c>
      <c r="B13" s="58"/>
      <c r="C13" s="58" t="s">
        <v>328</v>
      </c>
      <c r="D13" s="59">
        <v>1652.12</v>
      </c>
      <c r="E13" s="59">
        <v>1652.12</v>
      </c>
    </row>
    <row r="14" spans="1:5" x14ac:dyDescent="0.25">
      <c r="A14" s="57">
        <v>43372</v>
      </c>
      <c r="B14" s="58"/>
      <c r="C14" s="58" t="s">
        <v>328</v>
      </c>
      <c r="D14" s="59">
        <v>260.42</v>
      </c>
      <c r="E14" s="59">
        <v>180.22</v>
      </c>
    </row>
    <row r="15" spans="1:5" x14ac:dyDescent="0.25">
      <c r="A15" s="57">
        <v>43377</v>
      </c>
      <c r="B15" s="58"/>
      <c r="C15" s="58" t="s">
        <v>328</v>
      </c>
      <c r="D15" s="59">
        <v>649.16</v>
      </c>
      <c r="E15" s="59">
        <v>649.16</v>
      </c>
    </row>
    <row r="16" spans="1:5" x14ac:dyDescent="0.25">
      <c r="A16" s="57">
        <v>43379</v>
      </c>
      <c r="B16" s="58"/>
      <c r="C16" s="58" t="s">
        <v>328</v>
      </c>
      <c r="D16" s="59">
        <v>897.93</v>
      </c>
      <c r="E16" s="59">
        <v>897.93</v>
      </c>
    </row>
    <row r="17" spans="1:5" x14ac:dyDescent="0.25">
      <c r="A17" s="57">
        <v>43387</v>
      </c>
      <c r="B17" s="58">
        <v>504</v>
      </c>
      <c r="C17" s="58" t="s">
        <v>328</v>
      </c>
      <c r="D17" s="59">
        <v>495.86</v>
      </c>
      <c r="E17" s="59">
        <v>495.86</v>
      </c>
    </row>
    <row r="18" spans="1:5" x14ac:dyDescent="0.25">
      <c r="A18" s="57">
        <v>43389</v>
      </c>
      <c r="B18" s="58">
        <v>504</v>
      </c>
      <c r="C18" s="58" t="s">
        <v>328</v>
      </c>
      <c r="D18" s="59">
        <v>433.08</v>
      </c>
      <c r="E18" s="59">
        <v>368.12</v>
      </c>
    </row>
    <row r="19" spans="1:5" x14ac:dyDescent="0.25">
      <c r="A19" s="57">
        <v>43398</v>
      </c>
      <c r="B19" s="58">
        <v>504</v>
      </c>
      <c r="C19" s="58" t="s">
        <v>328</v>
      </c>
      <c r="D19" s="59">
        <v>589.29</v>
      </c>
      <c r="E19" s="59">
        <v>571.36</v>
      </c>
    </row>
    <row r="20" spans="1:5" x14ac:dyDescent="0.25">
      <c r="A20" s="57">
        <v>43399</v>
      </c>
      <c r="B20" s="58">
        <v>504</v>
      </c>
      <c r="C20" s="58" t="s">
        <v>328</v>
      </c>
      <c r="D20" s="59">
        <v>2147.85</v>
      </c>
      <c r="E20" s="59">
        <v>2131.81</v>
      </c>
    </row>
    <row r="21" spans="1:5" x14ac:dyDescent="0.25">
      <c r="A21" s="57">
        <v>43400</v>
      </c>
      <c r="B21" s="58">
        <v>504</v>
      </c>
      <c r="C21" s="58" t="s">
        <v>328</v>
      </c>
      <c r="D21" s="59">
        <v>17.77</v>
      </c>
      <c r="E21" s="59">
        <v>17.77</v>
      </c>
    </row>
    <row r="22" spans="1:5" x14ac:dyDescent="0.25">
      <c r="A22" s="57">
        <v>43407</v>
      </c>
      <c r="B22" s="58">
        <v>504</v>
      </c>
      <c r="C22" s="58" t="s">
        <v>328</v>
      </c>
      <c r="D22" s="59">
        <v>1956.1</v>
      </c>
      <c r="E22" s="59">
        <v>1956.1</v>
      </c>
    </row>
    <row r="23" spans="1:5" x14ac:dyDescent="0.25">
      <c r="A23" s="57">
        <v>43408</v>
      </c>
      <c r="B23" s="58">
        <v>504</v>
      </c>
      <c r="C23" s="58" t="s">
        <v>328</v>
      </c>
      <c r="D23" s="59">
        <v>1286.07</v>
      </c>
      <c r="E23" s="59">
        <v>1165.77</v>
      </c>
    </row>
    <row r="24" spans="1:5" x14ac:dyDescent="0.25">
      <c r="A24" s="57">
        <v>43420</v>
      </c>
      <c r="B24" s="58">
        <v>504</v>
      </c>
      <c r="C24" s="58" t="s">
        <v>328</v>
      </c>
      <c r="D24" s="59">
        <v>1150.74</v>
      </c>
      <c r="E24" s="59">
        <v>1150.74</v>
      </c>
    </row>
    <row r="25" spans="1:5" x14ac:dyDescent="0.25">
      <c r="A25" s="57">
        <v>43424</v>
      </c>
      <c r="B25" s="58">
        <v>504</v>
      </c>
      <c r="C25" s="58" t="s">
        <v>328</v>
      </c>
      <c r="D25" s="59">
        <v>667.55</v>
      </c>
      <c r="E25" s="59">
        <v>667.55</v>
      </c>
    </row>
    <row r="26" spans="1:5" x14ac:dyDescent="0.25">
      <c r="A26" s="57">
        <v>43429</v>
      </c>
      <c r="B26" s="58">
        <v>504</v>
      </c>
      <c r="C26" s="58" t="s">
        <v>328</v>
      </c>
      <c r="D26" s="59">
        <v>561.4</v>
      </c>
      <c r="E26" s="59">
        <v>449.12</v>
      </c>
    </row>
    <row r="27" spans="1:5" x14ac:dyDescent="0.25">
      <c r="A27" s="57">
        <v>43430</v>
      </c>
      <c r="B27" s="58">
        <v>504</v>
      </c>
      <c r="C27" s="58" t="s">
        <v>328</v>
      </c>
      <c r="D27" s="59">
        <v>312.77999999999997</v>
      </c>
      <c r="E27" s="59">
        <v>312.77999999999997</v>
      </c>
    </row>
    <row r="28" spans="1:5" x14ac:dyDescent="0.25">
      <c r="A28" s="57">
        <v>43432</v>
      </c>
      <c r="B28" s="58">
        <v>504</v>
      </c>
      <c r="C28" s="58" t="s">
        <v>328</v>
      </c>
      <c r="D28" s="59">
        <v>127.86</v>
      </c>
      <c r="E28" s="59">
        <v>79.739999999999995</v>
      </c>
    </row>
    <row r="29" spans="1:5" x14ac:dyDescent="0.25">
      <c r="A29" s="57">
        <v>43433</v>
      </c>
      <c r="B29" s="58">
        <v>504</v>
      </c>
      <c r="C29" s="58" t="s">
        <v>328</v>
      </c>
      <c r="D29" s="59">
        <v>288.31</v>
      </c>
      <c r="E29" s="59">
        <v>240.19</v>
      </c>
    </row>
    <row r="30" spans="1:5" x14ac:dyDescent="0.25">
      <c r="A30" s="57">
        <v>43435</v>
      </c>
      <c r="B30" s="58">
        <v>504</v>
      </c>
      <c r="C30" s="58" t="s">
        <v>328</v>
      </c>
      <c r="D30" s="59">
        <v>1761.84</v>
      </c>
      <c r="E30" s="59">
        <v>1721.74</v>
      </c>
    </row>
    <row r="31" spans="1:5" x14ac:dyDescent="0.25">
      <c r="A31" s="57">
        <v>43440</v>
      </c>
      <c r="B31" s="58">
        <v>504</v>
      </c>
      <c r="C31" s="58" t="s">
        <v>328</v>
      </c>
      <c r="D31" s="59">
        <v>1451.62</v>
      </c>
      <c r="E31" s="59">
        <v>1445.2</v>
      </c>
    </row>
    <row r="32" spans="1:5" x14ac:dyDescent="0.25">
      <c r="A32" s="57">
        <v>43446</v>
      </c>
      <c r="B32" s="58">
        <v>504</v>
      </c>
      <c r="C32" s="58" t="s">
        <v>328</v>
      </c>
      <c r="D32" s="59">
        <v>426.59</v>
      </c>
      <c r="E32" s="59">
        <v>386.49</v>
      </c>
    </row>
    <row r="33" spans="1:5" x14ac:dyDescent="0.25">
      <c r="A33" s="57">
        <v>43447</v>
      </c>
      <c r="B33" s="58">
        <v>504</v>
      </c>
      <c r="C33" s="58" t="s">
        <v>328</v>
      </c>
      <c r="D33" s="59">
        <v>453.97</v>
      </c>
      <c r="E33" s="59">
        <v>397.03</v>
      </c>
    </row>
    <row r="34" spans="1:5" x14ac:dyDescent="0.25">
      <c r="A34" s="57">
        <v>43451</v>
      </c>
      <c r="B34" s="58">
        <v>504</v>
      </c>
      <c r="C34" s="58" t="s">
        <v>328</v>
      </c>
      <c r="D34" s="59">
        <v>570.49</v>
      </c>
      <c r="E34" s="59">
        <v>524.72</v>
      </c>
    </row>
    <row r="35" spans="1:5" x14ac:dyDescent="0.25">
      <c r="A35" s="57">
        <v>43452</v>
      </c>
      <c r="B35" s="58">
        <v>504</v>
      </c>
      <c r="C35" s="58" t="s">
        <v>328</v>
      </c>
      <c r="D35" s="59">
        <v>754.64</v>
      </c>
      <c r="E35" s="59">
        <v>698.06</v>
      </c>
    </row>
    <row r="36" spans="1:5" x14ac:dyDescent="0.25">
      <c r="A36" s="57">
        <v>43453</v>
      </c>
      <c r="B36" s="58">
        <v>504</v>
      </c>
      <c r="C36" s="58" t="s">
        <v>328</v>
      </c>
      <c r="D36" s="59">
        <v>784.8</v>
      </c>
      <c r="E36" s="59">
        <v>577.34</v>
      </c>
    </row>
    <row r="37" spans="1:5" x14ac:dyDescent="0.25">
      <c r="A37" s="57">
        <v>43463</v>
      </c>
      <c r="B37" s="58">
        <v>504</v>
      </c>
      <c r="C37" s="58" t="s">
        <v>328</v>
      </c>
      <c r="D37" s="59">
        <v>792.4</v>
      </c>
      <c r="E37" s="59">
        <v>792.4</v>
      </c>
    </row>
    <row r="38" spans="1:5" x14ac:dyDescent="0.25">
      <c r="A38" s="57">
        <v>43469</v>
      </c>
      <c r="B38" s="58">
        <v>504</v>
      </c>
      <c r="C38" s="58" t="s">
        <v>328</v>
      </c>
      <c r="D38" s="59">
        <v>0</v>
      </c>
      <c r="E38" s="59">
        <v>0</v>
      </c>
    </row>
    <row r="39" spans="1:5" x14ac:dyDescent="0.25">
      <c r="A39" s="57">
        <v>43470</v>
      </c>
      <c r="B39" s="58">
        <v>504</v>
      </c>
      <c r="C39" s="58" t="s">
        <v>328</v>
      </c>
      <c r="D39" s="59">
        <v>469.37</v>
      </c>
      <c r="E39" s="59">
        <v>394.57</v>
      </c>
    </row>
    <row r="40" spans="1:5" x14ac:dyDescent="0.25">
      <c r="A40" s="57">
        <v>43477</v>
      </c>
      <c r="B40" s="58">
        <v>504</v>
      </c>
      <c r="C40" s="58" t="s">
        <v>328</v>
      </c>
      <c r="D40" s="59">
        <v>1553.97</v>
      </c>
      <c r="E40" s="59">
        <v>1441.77</v>
      </c>
    </row>
    <row r="41" spans="1:5" x14ac:dyDescent="0.25">
      <c r="A41" s="57">
        <v>43484</v>
      </c>
      <c r="B41" s="58">
        <v>504</v>
      </c>
      <c r="C41" s="58" t="s">
        <v>328</v>
      </c>
      <c r="D41" s="59">
        <v>643.28</v>
      </c>
      <c r="E41" s="59">
        <v>605.88</v>
      </c>
    </row>
    <row r="42" spans="1:5" x14ac:dyDescent="0.25">
      <c r="A42" s="57">
        <v>43489</v>
      </c>
      <c r="B42" s="58">
        <v>504</v>
      </c>
      <c r="C42" s="58" t="s">
        <v>328</v>
      </c>
      <c r="D42" s="59">
        <v>115.94</v>
      </c>
      <c r="E42" s="59">
        <v>78.540000000000006</v>
      </c>
    </row>
    <row r="43" spans="1:5" x14ac:dyDescent="0.25">
      <c r="A43" s="57">
        <v>43491</v>
      </c>
      <c r="B43" s="58">
        <v>504</v>
      </c>
      <c r="C43" s="58" t="s">
        <v>328</v>
      </c>
      <c r="D43" s="59">
        <v>957.44</v>
      </c>
      <c r="E43" s="59">
        <v>863.94</v>
      </c>
    </row>
    <row r="44" spans="1:5" x14ac:dyDescent="0.25">
      <c r="A44" s="57">
        <v>43496</v>
      </c>
      <c r="B44" s="58">
        <v>504</v>
      </c>
      <c r="C44" s="58" t="s">
        <v>328</v>
      </c>
      <c r="D44" s="59">
        <v>963.05</v>
      </c>
      <c r="E44" s="59">
        <v>944.35</v>
      </c>
    </row>
    <row r="45" spans="1:5" x14ac:dyDescent="0.25">
      <c r="A45" s="57">
        <v>43497</v>
      </c>
      <c r="B45" s="58">
        <v>504</v>
      </c>
      <c r="C45" s="58" t="s">
        <v>328</v>
      </c>
      <c r="D45" s="59">
        <v>1019.15</v>
      </c>
      <c r="E45" s="59">
        <v>532.95000000000005</v>
      </c>
    </row>
    <row r="46" spans="1:5" x14ac:dyDescent="0.25">
      <c r="A46" s="57">
        <v>43498</v>
      </c>
      <c r="B46" s="58">
        <v>504</v>
      </c>
      <c r="C46" s="58" t="s">
        <v>328</v>
      </c>
      <c r="D46" s="59">
        <v>695.64</v>
      </c>
      <c r="E46" s="59">
        <v>667.59</v>
      </c>
    </row>
    <row r="47" spans="1:5" x14ac:dyDescent="0.25">
      <c r="A47" s="57">
        <v>43499</v>
      </c>
      <c r="B47" s="58">
        <v>504</v>
      </c>
      <c r="C47" s="58" t="s">
        <v>328</v>
      </c>
      <c r="D47" s="59">
        <v>469.37</v>
      </c>
      <c r="E47" s="59">
        <v>413.27</v>
      </c>
    </row>
    <row r="48" spans="1:5" x14ac:dyDescent="0.25">
      <c r="A48" s="57">
        <v>43503</v>
      </c>
      <c r="B48" s="58">
        <v>504</v>
      </c>
      <c r="C48" s="58" t="s">
        <v>328</v>
      </c>
      <c r="D48" s="59">
        <v>663.85</v>
      </c>
      <c r="E48" s="59">
        <v>617.1</v>
      </c>
    </row>
    <row r="49" spans="1:5" x14ac:dyDescent="0.25">
      <c r="A49" s="57">
        <v>43507</v>
      </c>
      <c r="B49" s="58">
        <v>504</v>
      </c>
      <c r="C49" s="58" t="s">
        <v>328</v>
      </c>
      <c r="D49" s="59">
        <v>467.5</v>
      </c>
      <c r="E49" s="59">
        <v>0</v>
      </c>
    </row>
    <row r="50" spans="1:5" x14ac:dyDescent="0.25">
      <c r="A50" s="57">
        <v>43509</v>
      </c>
      <c r="B50" s="58">
        <v>504</v>
      </c>
      <c r="C50" s="58" t="s">
        <v>328</v>
      </c>
      <c r="D50" s="59">
        <v>336.6</v>
      </c>
      <c r="E50" s="59">
        <v>336.6</v>
      </c>
    </row>
    <row r="51" spans="1:5" x14ac:dyDescent="0.25">
      <c r="A51" s="57">
        <v>43510</v>
      </c>
      <c r="B51" s="58">
        <v>504</v>
      </c>
      <c r="C51" s="58" t="s">
        <v>328</v>
      </c>
      <c r="D51" s="59">
        <v>1870</v>
      </c>
      <c r="E51" s="59">
        <v>0</v>
      </c>
    </row>
    <row r="52" spans="1:5" x14ac:dyDescent="0.25">
      <c r="A52" s="57">
        <v>43511</v>
      </c>
      <c r="B52" s="58">
        <v>504</v>
      </c>
      <c r="C52" s="58" t="s">
        <v>328</v>
      </c>
      <c r="D52" s="59">
        <v>342.21</v>
      </c>
      <c r="E52" s="59">
        <v>164.56</v>
      </c>
    </row>
    <row r="53" spans="1:5" x14ac:dyDescent="0.25">
      <c r="A53" s="57">
        <v>43512</v>
      </c>
      <c r="B53" s="58">
        <v>504</v>
      </c>
      <c r="C53" s="58" t="s">
        <v>328</v>
      </c>
      <c r="D53" s="59">
        <v>832.15</v>
      </c>
      <c r="E53" s="59">
        <v>757.35</v>
      </c>
    </row>
    <row r="54" spans="1:5" x14ac:dyDescent="0.25">
      <c r="A54" s="57">
        <v>43516</v>
      </c>
      <c r="B54" s="58">
        <v>504</v>
      </c>
      <c r="C54" s="58" t="s">
        <v>328</v>
      </c>
      <c r="D54" s="59">
        <v>650.76</v>
      </c>
      <c r="E54" s="59">
        <v>641.41</v>
      </c>
    </row>
    <row r="55" spans="1:5" x14ac:dyDescent="0.25">
      <c r="A55" s="57">
        <v>43518</v>
      </c>
      <c r="B55" s="58">
        <v>504</v>
      </c>
      <c r="C55" s="58" t="s">
        <v>328</v>
      </c>
      <c r="D55" s="59">
        <v>69.19</v>
      </c>
      <c r="E55" s="59">
        <v>69.19</v>
      </c>
    </row>
    <row r="56" spans="1:5" x14ac:dyDescent="0.25">
      <c r="A56" s="57">
        <v>43519</v>
      </c>
      <c r="B56" s="58">
        <v>504</v>
      </c>
      <c r="C56" s="58" t="s">
        <v>328</v>
      </c>
      <c r="D56" s="59">
        <v>1310.87</v>
      </c>
      <c r="E56" s="59">
        <v>1310.87</v>
      </c>
    </row>
    <row r="57" spans="1:5" x14ac:dyDescent="0.25">
      <c r="A57" s="57">
        <v>43520</v>
      </c>
      <c r="B57" s="58">
        <v>504</v>
      </c>
      <c r="C57" s="58" t="s">
        <v>328</v>
      </c>
      <c r="D57" s="59">
        <v>592.79</v>
      </c>
      <c r="E57" s="59">
        <v>405.79</v>
      </c>
    </row>
    <row r="58" spans="1:5" x14ac:dyDescent="0.25">
      <c r="A58" s="57">
        <v>43522</v>
      </c>
      <c r="B58" s="58">
        <v>504</v>
      </c>
      <c r="C58" s="58" t="s">
        <v>328</v>
      </c>
      <c r="D58" s="59">
        <v>1006.06</v>
      </c>
      <c r="E58" s="59">
        <v>706.86</v>
      </c>
    </row>
    <row r="59" spans="1:5" x14ac:dyDescent="0.25">
      <c r="A59" s="57">
        <v>43525</v>
      </c>
      <c r="B59" s="58">
        <v>504</v>
      </c>
      <c r="C59" s="58" t="s">
        <v>328</v>
      </c>
      <c r="D59" s="59">
        <v>873.29</v>
      </c>
      <c r="E59" s="59">
        <v>798.49</v>
      </c>
    </row>
    <row r="60" spans="1:5" x14ac:dyDescent="0.25">
      <c r="A60" s="57">
        <v>43526</v>
      </c>
      <c r="B60" s="58">
        <v>504</v>
      </c>
      <c r="C60" s="58" t="s">
        <v>328</v>
      </c>
      <c r="D60" s="59">
        <v>1007.93</v>
      </c>
      <c r="E60" s="59">
        <v>873.29</v>
      </c>
    </row>
    <row r="61" spans="1:5" x14ac:dyDescent="0.25">
      <c r="A61" s="58" t="s">
        <v>122</v>
      </c>
      <c r="B61" s="58"/>
      <c r="C61" s="58"/>
      <c r="D61" s="60">
        <f>SUBTOTAL(109,Table1[Gross Sales])</f>
        <v>46717.740000000013</v>
      </c>
      <c r="E61" s="60">
        <f>SUBTOTAL(109,Table1[Net Sales])</f>
        <v>40271.140000000007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249977111117893"/>
  </sheetPr>
  <dimension ref="A1:R590"/>
  <sheetViews>
    <sheetView zoomScale="85" zoomScaleNormal="85" workbookViewId="0">
      <pane ySplit="4" topLeftCell="A86" activePane="bottomLeft" state="frozen"/>
      <selection pane="bottomLeft" activeCell="K154" sqref="K154"/>
    </sheetView>
  </sheetViews>
  <sheetFormatPr defaultColWidth="8.85546875" defaultRowHeight="15" x14ac:dyDescent="0.25"/>
  <cols>
    <col min="1" max="1" width="8.42578125" bestFit="1" customWidth="1"/>
    <col min="2" max="2" width="10.85546875" bestFit="1" customWidth="1"/>
    <col min="3" max="3" width="20.28515625" bestFit="1" customWidth="1"/>
    <col min="4" max="4" width="37.7109375" customWidth="1"/>
    <col min="5" max="5" width="14.7109375" customWidth="1"/>
    <col min="6" max="6" width="12.140625" customWidth="1"/>
    <col min="7" max="7" width="29" bestFit="1" customWidth="1"/>
    <col min="8" max="8" width="31.85546875" bestFit="1" customWidth="1"/>
    <col min="9" max="9" width="19.42578125" customWidth="1"/>
    <col min="10" max="10" width="21" customWidth="1"/>
    <col min="11" max="11" width="15" customWidth="1"/>
    <col min="12" max="12" width="14.140625" customWidth="1"/>
    <col min="13" max="13" width="10" bestFit="1" customWidth="1"/>
    <col min="15" max="15" width="11.85546875" customWidth="1"/>
    <col min="16" max="16" width="8.85546875" customWidth="1"/>
    <col min="17" max="17" width="17.140625" customWidth="1"/>
  </cols>
  <sheetData>
    <row r="1" spans="1:18" x14ac:dyDescent="0.25">
      <c r="B1" s="7"/>
      <c r="C1" s="5" t="str">
        <f>IF(SUM(A5:A424)&gt;0,"CHECK BILLING DATES","GOOD")</f>
        <v>GOOD</v>
      </c>
      <c r="D1" s="10" t="s">
        <v>420</v>
      </c>
      <c r="E1" s="100" t="e">
        <f>SUM(E5:E1048576)-SUM('[1]Tableau Data'!$D:$D)</f>
        <v>#REF!</v>
      </c>
      <c r="F1" s="100" t="e">
        <f>SUM(F5:F1048576)-SUM('[1]Tableau Data'!$E:$E)</f>
        <v>#REF!</v>
      </c>
      <c r="G1" s="10"/>
      <c r="J1" s="10"/>
      <c r="K1" s="12"/>
      <c r="L1" s="128" t="s">
        <v>449</v>
      </c>
      <c r="M1" s="10">
        <f>COUNTA(M5:M590)-COUNTA(D5:D590)</f>
        <v>0</v>
      </c>
    </row>
    <row r="2" spans="1:18" ht="15.75" thickBot="1" x14ac:dyDescent="0.3">
      <c r="B2" s="7"/>
      <c r="D2" s="209" t="s">
        <v>524</v>
      </c>
      <c r="E2" s="210"/>
      <c r="F2" s="211"/>
      <c r="G2" s="210"/>
      <c r="J2" s="212"/>
      <c r="K2" s="12"/>
      <c r="M2" s="10"/>
    </row>
    <row r="3" spans="1:18" ht="15.75" thickBot="1" x14ac:dyDescent="0.3">
      <c r="B3" s="260" t="s">
        <v>493</v>
      </c>
      <c r="C3" s="261"/>
      <c r="D3" s="261"/>
      <c r="E3" s="261"/>
      <c r="F3" s="262"/>
      <c r="G3" s="263" t="s">
        <v>130</v>
      </c>
      <c r="H3" s="264"/>
      <c r="I3" s="264"/>
      <c r="J3" s="264"/>
      <c r="K3" s="264"/>
      <c r="L3" s="264"/>
      <c r="M3" s="265"/>
    </row>
    <row r="4" spans="1:18" x14ac:dyDescent="0.25">
      <c r="B4" s="18" t="s">
        <v>0</v>
      </c>
      <c r="C4" s="18" t="s">
        <v>1</v>
      </c>
      <c r="D4" s="18" t="s">
        <v>2</v>
      </c>
      <c r="E4" s="18" t="s">
        <v>394</v>
      </c>
      <c r="F4" s="18" t="s">
        <v>464</v>
      </c>
      <c r="G4" s="10" t="s">
        <v>142</v>
      </c>
      <c r="H4" t="s">
        <v>119</v>
      </c>
      <c r="I4" t="s">
        <v>48</v>
      </c>
      <c r="J4" s="10" t="s">
        <v>40</v>
      </c>
      <c r="K4" s="15" t="s">
        <v>129</v>
      </c>
      <c r="L4" s="10" t="s">
        <v>140</v>
      </c>
      <c r="M4" s="10" t="s">
        <v>122</v>
      </c>
      <c r="O4" s="47" t="s">
        <v>0</v>
      </c>
      <c r="P4" s="47" t="s">
        <v>318</v>
      </c>
      <c r="Q4" s="47" t="s">
        <v>340</v>
      </c>
    </row>
    <row r="5" spans="1:18" x14ac:dyDescent="0.25">
      <c r="A5" s="143" t="str">
        <f>IF(Table11[[#This Row],[Date]]=0,"",IF(Table11[[#This Row],[Date]]&lt;(Summary!$B$3-6),1,""))</f>
        <v/>
      </c>
      <c r="B5" s="127">
        <v>46271</v>
      </c>
      <c r="C5" s="16">
        <v>21</v>
      </c>
      <c r="D5" s="16" t="s">
        <v>29</v>
      </c>
      <c r="E5" s="17">
        <v>3283.05</v>
      </c>
      <c r="F5" s="17">
        <v>3113.23</v>
      </c>
      <c r="G5" s="10" t="str">
        <f>VLOOKUP(Table11[[#This Row],[Store]],'Rates from Tracker'!A:B,2,0)</f>
        <v>Park Meadows</v>
      </c>
      <c r="H5" t="str">
        <f>VLOOKUP(D5,'Rates from Tracker'!A:C,3,0)</f>
        <v>Best Pizza LLC</v>
      </c>
      <c r="I5" t="str">
        <f>VLOOKUP(Table11[[#This Row],[Franchisee]],'Rates from Tracker'!C:D,2,0)</f>
        <v>Merullo</v>
      </c>
      <c r="J5" s="10">
        <f>ROUND(IF(Table11[[#This Row],[Location]]="Belmont Market",Table11[[#This Row],[Column2]]*0.01,IF(Table11[[#This Row],[Location]]="Country Club Centre",Table11[[#This Row],[Column2]]*0.01,IF(Table11[[#This Row],[Location]]="Naval Air Station Norfolk",Table11[[#This Row],[Column2]]*0.005,F5*0.02))),2)</f>
        <v>62.26</v>
      </c>
      <c r="K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 s="11">
        <f t="shared" ref="L5:L68" si="0">ROUND(F5*K5,2)</f>
        <v>155.66</v>
      </c>
      <c r="M5" s="10">
        <f t="shared" ref="M5:M68" si="1">J5+L5</f>
        <v>217.92</v>
      </c>
      <c r="O5" s="46">
        <v>46265</v>
      </c>
      <c r="P5">
        <f t="shared" ref="P5:P11" si="2">COUNTIF(B:B,O5)</f>
        <v>76</v>
      </c>
    </row>
    <row r="6" spans="1:18" x14ac:dyDescent="0.25">
      <c r="A6" s="143" t="str">
        <f>IF(Table11[[#This Row],[Date]]=0,"",IF(Table11[[#This Row],[Date]]&lt;(Summary!$B$3-6),1,""))</f>
        <v/>
      </c>
      <c r="B6" s="127">
        <v>46271</v>
      </c>
      <c r="C6" s="16">
        <v>47</v>
      </c>
      <c r="D6" s="16" t="s">
        <v>532</v>
      </c>
      <c r="E6" s="17">
        <v>5116.92</v>
      </c>
      <c r="F6" s="17">
        <v>4816.47</v>
      </c>
      <c r="G6" s="10" t="str">
        <f>VLOOKUP(Table11[[#This Row],[Store]],'Rates from Tracker'!A:B,2,0)</f>
        <v>REDDING</v>
      </c>
      <c r="H6" t="str">
        <f>VLOOKUP(D6,'Rates from Tracker'!A:C,3,0)</f>
        <v>Exceed Group REDDING</v>
      </c>
      <c r="I6" t="str">
        <f>VLOOKUP(Table11[[#This Row],[Franchisee]],'Rates from Tracker'!C:D,2,0)</f>
        <v>Chawla</v>
      </c>
      <c r="J6" s="10">
        <f>ROUND(IF(Table11[[#This Row],[Location]]="Belmont Market",Table11[[#This Row],[Column2]]*0.01,IF(Table11[[#This Row],[Location]]="Country Club Centre",Table11[[#This Row],[Column2]]*0.01,IF(Table11[[#This Row],[Location]]="Naval Air Station Norfolk",Table11[[#This Row],[Column2]]*0.005,F6*0.02))),2)</f>
        <v>96.33</v>
      </c>
      <c r="K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6" s="11">
        <f t="shared" si="0"/>
        <v>240.82</v>
      </c>
      <c r="M6" s="10">
        <f t="shared" si="1"/>
        <v>337.15</v>
      </c>
      <c r="O6" s="7">
        <f>O5+1</f>
        <v>46266</v>
      </c>
      <c r="P6">
        <f t="shared" si="2"/>
        <v>76</v>
      </c>
    </row>
    <row r="7" spans="1:18" x14ac:dyDescent="0.25">
      <c r="A7" s="143" t="str">
        <f>IF(Table11[[#This Row],[Date]]=0,"",IF(Table11[[#This Row],[Date]]&lt;(Summary!$B$3-6),1,""))</f>
        <v/>
      </c>
      <c r="B7" s="127">
        <v>46271</v>
      </c>
      <c r="C7" s="16">
        <v>55</v>
      </c>
      <c r="D7" s="16" t="s">
        <v>533</v>
      </c>
      <c r="E7" s="17">
        <v>3552.05</v>
      </c>
      <c r="F7" s="17">
        <v>3144.19</v>
      </c>
      <c r="G7" s="10" t="str">
        <f>VLOOKUP(Table11[[#This Row],[Store]],'Rates from Tracker'!A:B,2,0)</f>
        <v>ROCKLIN</v>
      </c>
      <c r="H7" t="str">
        <f>VLOOKUP(D7,'Rates from Tracker'!A:C,3,0)</f>
        <v>Exceed Group ROCKLIN</v>
      </c>
      <c r="I7" t="str">
        <f>VLOOKUP(Table11[[#This Row],[Franchisee]],'Rates from Tracker'!C:D,2,0)</f>
        <v>Chawla</v>
      </c>
      <c r="J7" s="10">
        <f>ROUND(IF(Table11[[#This Row],[Location]]="Belmont Market",Table11[[#This Row],[Column2]]*0.01,IF(Table11[[#This Row],[Location]]="Country Club Centre",Table11[[#This Row],[Column2]]*0.01,IF(Table11[[#This Row],[Location]]="Naval Air Station Norfolk",Table11[[#This Row],[Column2]]*0.005,F7*0.02))),2)</f>
        <v>62.88</v>
      </c>
      <c r="K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7" s="11">
        <f t="shared" si="0"/>
        <v>157.21</v>
      </c>
      <c r="M7" s="10">
        <f t="shared" si="1"/>
        <v>220.09</v>
      </c>
      <c r="O7" s="7">
        <f t="shared" ref="O7:O11" si="3">O6+1</f>
        <v>46267</v>
      </c>
      <c r="P7">
        <f t="shared" si="2"/>
        <v>76</v>
      </c>
    </row>
    <row r="8" spans="1:18" x14ac:dyDescent="0.25">
      <c r="A8" s="143" t="str">
        <f>IF(Table11[[#This Row],[Date]]=0,"",IF(Table11[[#This Row],[Date]]&lt;(Summary!$B$3-6),1,""))</f>
        <v/>
      </c>
      <c r="B8" s="127">
        <v>46271</v>
      </c>
      <c r="C8" s="16">
        <v>56</v>
      </c>
      <c r="D8" s="16" t="s">
        <v>534</v>
      </c>
      <c r="E8" s="17">
        <v>2880.02</v>
      </c>
      <c r="F8" s="17">
        <v>2726.86</v>
      </c>
      <c r="G8" s="10" t="str">
        <f>VLOOKUP(Table11[[#This Row],[Store]],'Rates from Tracker'!A:B,2,0)</f>
        <v>LIVONIA</v>
      </c>
      <c r="H8" t="str">
        <f>VLOOKUP(D8,'Rates from Tracker'!A:C,3,0)</f>
        <v>TSFR Pizza LLC</v>
      </c>
      <c r="I8" t="str">
        <f>VLOOKUP(Table11[[#This Row],[Franchisee]],'Rates from Tracker'!C:D,2,0)</f>
        <v>Schostak</v>
      </c>
      <c r="J8" s="10">
        <f>ROUND(IF(Table11[[#This Row],[Location]]="Belmont Market",Table11[[#This Row],[Column2]]*0.01,IF(Table11[[#This Row],[Location]]="Country Club Centre",Table11[[#This Row],[Column2]]*0.01,IF(Table11[[#This Row],[Location]]="Naval Air Station Norfolk",Table11[[#This Row],[Column2]]*0.005,F8*0.02))),2)</f>
        <v>54.54</v>
      </c>
      <c r="K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8" s="11">
        <f t="shared" si="0"/>
        <v>136.34</v>
      </c>
      <c r="M8" s="10">
        <f t="shared" si="1"/>
        <v>190.88</v>
      </c>
      <c r="O8" s="7">
        <f t="shared" si="3"/>
        <v>46268</v>
      </c>
      <c r="P8">
        <f t="shared" si="2"/>
        <v>76</v>
      </c>
    </row>
    <row r="9" spans="1:18" x14ac:dyDescent="0.25">
      <c r="A9" s="143" t="str">
        <f>IF(Table11[[#This Row],[Date]]=0,"",IF(Table11[[#This Row],[Date]]&lt;(Summary!$B$3-6),1,""))</f>
        <v/>
      </c>
      <c r="B9" s="127">
        <v>46271</v>
      </c>
      <c r="C9" s="16">
        <v>77</v>
      </c>
      <c r="D9" s="16" t="s">
        <v>11</v>
      </c>
      <c r="E9" s="17">
        <v>3632.62</v>
      </c>
      <c r="F9" s="17">
        <v>3442.4</v>
      </c>
      <c r="G9" s="10" t="str">
        <f>VLOOKUP(Table11[[#This Row],[Store]],'Rates from Tracker'!A:B,2,0)</f>
        <v>Falcon Landing</v>
      </c>
      <c r="H9" t="str">
        <f>VLOOKUP(D9,'Rates from Tracker'!A:C,3,0)</f>
        <v>Best Pizza LLC</v>
      </c>
      <c r="I9" t="str">
        <f>VLOOKUP(Table11[[#This Row],[Franchisee]],'Rates from Tracker'!C:D,2,0)</f>
        <v>Merullo</v>
      </c>
      <c r="J9" s="10">
        <f>ROUND(IF(Table11[[#This Row],[Location]]="Belmont Market",Table11[[#This Row],[Column2]]*0.01,IF(Table11[[#This Row],[Location]]="Country Club Centre",Table11[[#This Row],[Column2]]*0.01,IF(Table11[[#This Row],[Location]]="Naval Air Station Norfolk",Table11[[#This Row],[Column2]]*0.005,F9*0.02))),2)</f>
        <v>68.849999999999994</v>
      </c>
      <c r="K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9" s="11">
        <f t="shared" si="0"/>
        <v>172.12</v>
      </c>
      <c r="M9" s="10">
        <f t="shared" si="1"/>
        <v>240.97</v>
      </c>
      <c r="O9" s="7">
        <f t="shared" si="3"/>
        <v>46269</v>
      </c>
      <c r="P9">
        <f t="shared" si="2"/>
        <v>76</v>
      </c>
    </row>
    <row r="10" spans="1:18" x14ac:dyDescent="0.25">
      <c r="A10" s="143" t="str">
        <f>IF(Table11[[#This Row],[Date]]=0,"",IF(Table11[[#This Row],[Date]]&lt;(Summary!$B$3-6),1,""))</f>
        <v/>
      </c>
      <c r="B10" s="127">
        <v>46271</v>
      </c>
      <c r="C10" s="16">
        <v>93</v>
      </c>
      <c r="D10" s="16" t="s">
        <v>5</v>
      </c>
      <c r="E10" s="17">
        <v>2888.65</v>
      </c>
      <c r="F10" s="17">
        <v>2752.57</v>
      </c>
      <c r="G10" s="10" t="str">
        <f>VLOOKUP(Table11[[#This Row],[Store]],'Rates from Tracker'!A:B,2,0)</f>
        <v>Brighton</v>
      </c>
      <c r="H10" t="str">
        <f>VLOOKUP(D10,'Rates from Tracker'!A:C,3,0)</f>
        <v>TSFR Pizza LLC</v>
      </c>
      <c r="I10" t="str">
        <f>VLOOKUP(Table11[[#This Row],[Franchisee]],'Rates from Tracker'!C:D,2,0)</f>
        <v>Schostak</v>
      </c>
      <c r="J10" s="10">
        <f>ROUND(IF(Table11[[#This Row],[Location]]="Belmont Market",Table11[[#This Row],[Column2]]*0.01,IF(Table11[[#This Row],[Location]]="Country Club Centre",Table11[[#This Row],[Column2]]*0.01,IF(Table11[[#This Row],[Location]]="Naval Air Station Norfolk",Table11[[#This Row],[Column2]]*0.005,F10*0.02))),2)</f>
        <v>55.05</v>
      </c>
      <c r="K1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0" s="11">
        <f t="shared" si="0"/>
        <v>137.63</v>
      </c>
      <c r="M10" s="10">
        <f t="shared" si="1"/>
        <v>192.68</v>
      </c>
      <c r="O10" s="7">
        <f t="shared" si="3"/>
        <v>46270</v>
      </c>
      <c r="P10">
        <f t="shared" si="2"/>
        <v>76</v>
      </c>
    </row>
    <row r="11" spans="1:18" x14ac:dyDescent="0.25">
      <c r="A11" s="143" t="str">
        <f>IF(Table11[[#This Row],[Date]]=0,"",IF(Table11[[#This Row],[Date]]&lt;(Summary!$B$3-6),1,""))</f>
        <v/>
      </c>
      <c r="B11" s="127">
        <v>46271</v>
      </c>
      <c r="C11" s="16">
        <v>94</v>
      </c>
      <c r="D11" s="16" t="s">
        <v>7</v>
      </c>
      <c r="E11" s="17">
        <v>5324.11</v>
      </c>
      <c r="F11" s="17">
        <v>5025.38</v>
      </c>
      <c r="G11" s="10" t="str">
        <f>VLOOKUP(Table11[[#This Row],[Store]],'Rates from Tracker'!A:B,2,0)</f>
        <v>Castle Rock</v>
      </c>
      <c r="H11" t="str">
        <f>VLOOKUP(D11,'Rates from Tracker'!A:C,3,0)</f>
        <v>Best Pizza LLC</v>
      </c>
      <c r="I11" t="str">
        <f>VLOOKUP(Table11[[#This Row],[Franchisee]],'Rates from Tracker'!C:D,2,0)</f>
        <v>Merullo</v>
      </c>
      <c r="J11" s="10">
        <f>ROUND(IF(Table11[[#This Row],[Location]]="Belmont Market",Table11[[#This Row],[Column2]]*0.01,IF(Table11[[#This Row],[Location]]="Country Club Centre",Table11[[#This Row],[Column2]]*0.01,IF(Table11[[#This Row],[Location]]="Naval Air Station Norfolk",Table11[[#This Row],[Column2]]*0.005,F11*0.02))),2)</f>
        <v>100.51</v>
      </c>
      <c r="K1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1" s="11">
        <f t="shared" si="0"/>
        <v>251.27</v>
      </c>
      <c r="M11" s="10">
        <f t="shared" si="1"/>
        <v>351.78000000000003</v>
      </c>
      <c r="O11" s="7">
        <f t="shared" si="3"/>
        <v>46271</v>
      </c>
      <c r="P11">
        <f t="shared" si="2"/>
        <v>76</v>
      </c>
    </row>
    <row r="12" spans="1:18" x14ac:dyDescent="0.25">
      <c r="A12" s="143" t="str">
        <f>IF(Table11[[#This Row],[Date]]=0,"",IF(Table11[[#This Row],[Date]]&lt;(Summary!$B$3-6),1,""))</f>
        <v/>
      </c>
      <c r="B12" s="127">
        <v>46271</v>
      </c>
      <c r="C12" s="16">
        <v>100</v>
      </c>
      <c r="D12" s="16" t="s">
        <v>17</v>
      </c>
      <c r="E12" s="17">
        <v>5082.8500000000004</v>
      </c>
      <c r="F12" s="17">
        <v>4745.4799999999996</v>
      </c>
      <c r="G12" s="10" t="str">
        <f>VLOOKUP(Table11[[#This Row],[Store]],'Rates from Tracker'!A:B,2,0)</f>
        <v>Howe Bout Arden</v>
      </c>
      <c r="H12" t="str">
        <f>VLOOKUP(D12,'Rates from Tracker'!A:C,3,0)</f>
        <v>Exceed Group Howe Bout Arden</v>
      </c>
      <c r="I12" t="str">
        <f>VLOOKUP(Table11[[#This Row],[Franchisee]],'Rates from Tracker'!C:D,2,0)</f>
        <v>Chawla</v>
      </c>
      <c r="J12" s="10">
        <f>ROUND(IF(Table11[[#This Row],[Location]]="Belmont Market",Table11[[#This Row],[Column2]]*0.01,IF(Table11[[#This Row],[Location]]="Country Club Centre",Table11[[#This Row],[Column2]]*0.01,IF(Table11[[#This Row],[Location]]="Naval Air Station Norfolk",Table11[[#This Row],[Column2]]*0.005,F12*0.02))),2)</f>
        <v>94.91</v>
      </c>
      <c r="K1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2" s="11">
        <f t="shared" si="0"/>
        <v>237.27</v>
      </c>
      <c r="M12" s="10">
        <f t="shared" si="1"/>
        <v>332.18</v>
      </c>
      <c r="O12" s="7"/>
      <c r="R12" s="11"/>
    </row>
    <row r="13" spans="1:18" x14ac:dyDescent="0.25">
      <c r="A13" s="143" t="str">
        <f>IF(Table11[[#This Row],[Date]]=0,"",IF(Table11[[#This Row],[Date]]&lt;(Summary!$B$3-6),1,""))</f>
        <v/>
      </c>
      <c r="B13" s="127">
        <v>46271</v>
      </c>
      <c r="C13" s="16">
        <v>126</v>
      </c>
      <c r="D13" s="16" t="s">
        <v>571</v>
      </c>
      <c r="E13" s="17">
        <v>3182.31</v>
      </c>
      <c r="F13" s="17">
        <v>2931.76</v>
      </c>
      <c r="G13" s="10" t="str">
        <f>VLOOKUP(Table11[[#This Row],[Store]],'Rates from Tracker'!A:B,2,0)</f>
        <v>Bend</v>
      </c>
      <c r="H13" t="str">
        <f>VLOOKUP(D13,'Rates from Tracker'!A:C,3,0)</f>
        <v>SSR Holdings LLC</v>
      </c>
      <c r="I13" t="str">
        <f>VLOOKUP(Table11[[#This Row],[Franchisee]],'Rates from Tracker'!C:D,2,0)</f>
        <v>Bikram</v>
      </c>
      <c r="J13" s="10">
        <f>ROUND(IF(Table11[[#This Row],[Location]]="Belmont Market",Table11[[#This Row],[Column2]]*0.01,IF(Table11[[#This Row],[Location]]="Country Club Centre",Table11[[#This Row],[Column2]]*0.01,IF(Table11[[#This Row],[Location]]="Naval Air Station Norfolk",Table11[[#This Row],[Column2]]*0.005,F13*0.02))),2)</f>
        <v>58.64</v>
      </c>
      <c r="K1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3" s="11">
        <f t="shared" si="0"/>
        <v>29.32</v>
      </c>
      <c r="M13" s="10">
        <f t="shared" si="1"/>
        <v>87.960000000000008</v>
      </c>
      <c r="O13" s="7"/>
    </row>
    <row r="14" spans="1:18" x14ac:dyDescent="0.25">
      <c r="A14" s="143" t="str">
        <f>IF(Table11[[#This Row],[Date]]=0,"",IF(Table11[[#This Row],[Date]]&lt;(Summary!$B$3-6),1,""))</f>
        <v/>
      </c>
      <c r="B14" s="127">
        <v>46271</v>
      </c>
      <c r="C14" s="16">
        <v>133</v>
      </c>
      <c r="D14" s="16" t="s">
        <v>38</v>
      </c>
      <c r="E14" s="17">
        <v>3183.93</v>
      </c>
      <c r="F14" s="17">
        <v>3013.15</v>
      </c>
      <c r="G14" s="10" t="str">
        <f>VLOOKUP(Table11[[#This Row],[Store]],'Rates from Tracker'!A:B,2,0)</f>
        <v>Woodhill</v>
      </c>
      <c r="H14" t="str">
        <f>VLOOKUP(D14,'Rates from Tracker'!A:C,3,0)</f>
        <v>Rolling Dough LLC</v>
      </c>
      <c r="I14" t="str">
        <f>VLOOKUP(Table11[[#This Row],[Franchisee]],'Rates from Tracker'!C:D,2,0)</f>
        <v>Connolly</v>
      </c>
      <c r="J14" s="10">
        <f>ROUND(IF(Table11[[#This Row],[Location]]="Belmont Market",Table11[[#This Row],[Column2]]*0.01,IF(Table11[[#This Row],[Location]]="Country Club Centre",Table11[[#This Row],[Column2]]*0.01,IF(Table11[[#This Row],[Location]]="Naval Air Station Norfolk",Table11[[#This Row],[Column2]]*0.005,F14*0.02))),2)</f>
        <v>60.26</v>
      </c>
      <c r="K1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4" s="11">
        <f t="shared" si="0"/>
        <v>150.66</v>
      </c>
      <c r="M14" s="10">
        <f t="shared" si="1"/>
        <v>210.92</v>
      </c>
      <c r="O14" s="7"/>
    </row>
    <row r="15" spans="1:18" x14ac:dyDescent="0.25">
      <c r="A15" s="143" t="str">
        <f>IF(Table11[[#This Row],[Date]]=0,"",IF(Table11[[#This Row],[Date]]&lt;(Summary!$B$3-6),1,""))</f>
        <v/>
      </c>
      <c r="B15" s="127">
        <v>46271</v>
      </c>
      <c r="C15" s="16">
        <v>149</v>
      </c>
      <c r="D15" s="16" t="s">
        <v>36</v>
      </c>
      <c r="E15" s="17">
        <v>3048.46</v>
      </c>
      <c r="F15" s="17">
        <v>2802.61</v>
      </c>
      <c r="G15" s="10" t="str">
        <f>VLOOKUP(Table11[[#This Row],[Store]],'Rates from Tracker'!A:B,2,0)</f>
        <v>Westwood Plaza</v>
      </c>
      <c r="H15" t="str">
        <f>VLOOKUP(D15,'Rates from Tracker'!A:C,3,0)</f>
        <v>Rolling Dough LLC</v>
      </c>
      <c r="I15" t="str">
        <f>VLOOKUP(Table11[[#This Row],[Franchisee]],'Rates from Tracker'!C:D,2,0)</f>
        <v>Connolly</v>
      </c>
      <c r="J15" s="10">
        <f>ROUND(IF(Table11[[#This Row],[Location]]="Belmont Market",Table11[[#This Row],[Column2]]*0.01,IF(Table11[[#This Row],[Location]]="Country Club Centre",Table11[[#This Row],[Column2]]*0.01,IF(Table11[[#This Row],[Location]]="Naval Air Station Norfolk",Table11[[#This Row],[Column2]]*0.005,F15*0.02))),2)</f>
        <v>56.05</v>
      </c>
      <c r="K1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5" s="11">
        <f t="shared" si="0"/>
        <v>140.13</v>
      </c>
      <c r="M15" s="10">
        <f t="shared" si="1"/>
        <v>196.18</v>
      </c>
    </row>
    <row r="16" spans="1:18" x14ac:dyDescent="0.25">
      <c r="A16" s="143" t="str">
        <f>IF(Table11[[#This Row],[Date]]=0,"",IF(Table11[[#This Row],[Date]]&lt;(Summary!$B$3-6),1,""))</f>
        <v/>
      </c>
      <c r="B16" s="127">
        <v>46271</v>
      </c>
      <c r="C16" s="16">
        <v>157</v>
      </c>
      <c r="D16" s="16" t="s">
        <v>15</v>
      </c>
      <c r="E16" s="17">
        <v>3925.65</v>
      </c>
      <c r="F16" s="17">
        <v>3795</v>
      </c>
      <c r="G16" s="10" t="str">
        <f>VLOOKUP(Table11[[#This Row],[Store]],'Rates from Tracker'!A:B,2,0)</f>
        <v>Hamburg #6</v>
      </c>
      <c r="H16" t="str">
        <f>VLOOKUP(D16,'Rates from Tracker'!A:C,3,0)</f>
        <v>Cool Dough Development, LLC</v>
      </c>
      <c r="I16" t="str">
        <f>VLOOKUP(Table11[[#This Row],[Franchisee]],'Rates from Tracker'!C:D,2,0)</f>
        <v>Denning</v>
      </c>
      <c r="J16" s="10">
        <f>ROUND(IF(Table11[[#This Row],[Location]]="Belmont Market",Table11[[#This Row],[Column2]]*0.01,IF(Table11[[#This Row],[Location]]="Country Club Centre",Table11[[#This Row],[Column2]]*0.01,IF(Table11[[#This Row],[Location]]="Naval Air Station Norfolk",Table11[[#This Row],[Column2]]*0.005,F16*0.02))),2)</f>
        <v>75.900000000000006</v>
      </c>
      <c r="K1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6" s="11">
        <f t="shared" si="0"/>
        <v>189.75</v>
      </c>
      <c r="M16" s="10">
        <f t="shared" si="1"/>
        <v>265.64999999999998</v>
      </c>
    </row>
    <row r="17" spans="1:13" x14ac:dyDescent="0.25">
      <c r="A17" s="143" t="str">
        <f>IF(Table11[[#This Row],[Date]]=0,"",IF(Table11[[#This Row],[Date]]&lt;(Summary!$B$3-6),1,""))</f>
        <v/>
      </c>
      <c r="B17" s="127">
        <v>46271</v>
      </c>
      <c r="C17" s="16">
        <v>158</v>
      </c>
      <c r="D17" s="16" t="s">
        <v>20</v>
      </c>
      <c r="E17" s="17">
        <v>3471.46</v>
      </c>
      <c r="F17" s="17">
        <v>3287.16</v>
      </c>
      <c r="G17" s="10" t="str">
        <f>VLOOKUP(Table11[[#This Row],[Store]],'Rates from Tracker'!A:B,2,0)</f>
        <v>McCaslin Marketplace</v>
      </c>
      <c r="H17" t="str">
        <f>VLOOKUP(D17,'Rates from Tracker'!A:C,3,0)</f>
        <v>Best Pizza LLC</v>
      </c>
      <c r="I17" t="str">
        <f>VLOOKUP(Table11[[#This Row],[Franchisee]],'Rates from Tracker'!C:D,2,0)</f>
        <v>Merullo</v>
      </c>
      <c r="J17" s="10">
        <f>ROUND(IF(Table11[[#This Row],[Location]]="Belmont Market",Table11[[#This Row],[Column2]]*0.01,IF(Table11[[#This Row],[Location]]="Country Club Centre",Table11[[#This Row],[Column2]]*0.01,IF(Table11[[#This Row],[Location]]="Naval Air Station Norfolk",Table11[[#This Row],[Column2]]*0.005,F17*0.02))),2)</f>
        <v>65.739999999999995</v>
      </c>
      <c r="K1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7" s="11">
        <f t="shared" si="0"/>
        <v>164.36</v>
      </c>
      <c r="M17" s="10">
        <f t="shared" si="1"/>
        <v>230.10000000000002</v>
      </c>
    </row>
    <row r="18" spans="1:13" x14ac:dyDescent="0.25">
      <c r="A18" s="143" t="str">
        <f>IF(Table11[[#This Row],[Date]]=0,"",IF(Table11[[#This Row],[Date]]&lt;(Summary!$B$3-6),1,""))</f>
        <v/>
      </c>
      <c r="B18" s="127">
        <v>46271</v>
      </c>
      <c r="C18" s="16">
        <v>159</v>
      </c>
      <c r="D18" s="16" t="s">
        <v>24</v>
      </c>
      <c r="E18" s="17">
        <v>2076.13</v>
      </c>
      <c r="F18" s="17">
        <v>1861.01</v>
      </c>
      <c r="G18" s="10" t="str">
        <f>VLOOKUP(Table11[[#This Row],[Store]],'Rates from Tracker'!A:B,2,0)</f>
        <v>North Charleston</v>
      </c>
      <c r="H18" t="str">
        <f>VLOOKUP(D18,'Rates from Tracker'!A:C,3,0)</f>
        <v>Rolling Dough LLC</v>
      </c>
      <c r="I18" t="str">
        <f>VLOOKUP(Table11[[#This Row],[Franchisee]],'Rates from Tracker'!C:D,2,0)</f>
        <v>Connolly</v>
      </c>
      <c r="J18" s="10">
        <f>ROUND(IF(Table11[[#This Row],[Location]]="Belmont Market",Table11[[#This Row],[Column2]]*0.01,IF(Table11[[#This Row],[Location]]="Country Club Centre",Table11[[#This Row],[Column2]]*0.01,IF(Table11[[#This Row],[Location]]="Naval Air Station Norfolk",Table11[[#This Row],[Column2]]*0.005,F18*0.02))),2)</f>
        <v>37.22</v>
      </c>
      <c r="K1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8" s="11">
        <f t="shared" si="0"/>
        <v>93.05</v>
      </c>
      <c r="M18" s="10">
        <f t="shared" si="1"/>
        <v>130.26999999999998</v>
      </c>
    </row>
    <row r="19" spans="1:13" x14ac:dyDescent="0.25">
      <c r="A19" s="143" t="str">
        <f>IF(Table11[[#This Row],[Date]]=0,"",IF(Table11[[#This Row],[Date]]&lt;(Summary!$B$3-6),1,""))</f>
        <v/>
      </c>
      <c r="B19" s="127">
        <v>46271</v>
      </c>
      <c r="C19" s="16">
        <v>161</v>
      </c>
      <c r="D19" s="16" t="s">
        <v>10</v>
      </c>
      <c r="E19" s="17">
        <v>4851.83</v>
      </c>
      <c r="F19" s="17">
        <v>4503.28</v>
      </c>
      <c r="G19" s="10" t="str">
        <f>VLOOKUP(Table11[[#This Row],[Store]],'Rates from Tracker'!A:B,2,0)</f>
        <v>Chico</v>
      </c>
      <c r="H19" t="str">
        <f>VLOOKUP(D19,'Rates from Tracker'!A:C,3,0)</f>
        <v>Exceed Group Chico</v>
      </c>
      <c r="I19" t="str">
        <f>VLOOKUP(Table11[[#This Row],[Franchisee]],'Rates from Tracker'!C:D,2,0)</f>
        <v>Chawla</v>
      </c>
      <c r="J19" s="10">
        <f>ROUND(IF(Table11[[#This Row],[Location]]="Belmont Market",Table11[[#This Row],[Column2]]*0.01,IF(Table11[[#This Row],[Location]]="Country Club Centre",Table11[[#This Row],[Column2]]*0.01,IF(Table11[[#This Row],[Location]]="Naval Air Station Norfolk",Table11[[#This Row],[Column2]]*0.005,F19*0.02))),2)</f>
        <v>90.07</v>
      </c>
      <c r="K1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9" s="11">
        <f t="shared" si="0"/>
        <v>225.16</v>
      </c>
      <c r="M19" s="10">
        <f t="shared" si="1"/>
        <v>315.23</v>
      </c>
    </row>
    <row r="20" spans="1:13" x14ac:dyDescent="0.25">
      <c r="A20" s="143" t="str">
        <f>IF(Table11[[#This Row],[Date]]=0,"",IF(Table11[[#This Row],[Date]]&lt;(Summary!$B$3-6),1,""))</f>
        <v/>
      </c>
      <c r="B20" s="127">
        <v>46271</v>
      </c>
      <c r="C20" s="16">
        <v>163</v>
      </c>
      <c r="D20" s="16" t="s">
        <v>13</v>
      </c>
      <c r="E20" s="17">
        <v>4862.07</v>
      </c>
      <c r="F20" s="17">
        <v>4406.8</v>
      </c>
      <c r="G20" s="10" t="str">
        <f>VLOOKUP(Table11[[#This Row],[Store]],'Rates from Tracker'!A:B,2,0)</f>
        <v>Forest Trace</v>
      </c>
      <c r="H20" t="str">
        <f>VLOOKUP(D20,'Rates from Tracker'!A:C,3,0)</f>
        <v>Best Pizza LLC</v>
      </c>
      <c r="I20" t="str">
        <f>VLOOKUP(Table11[[#This Row],[Franchisee]],'Rates from Tracker'!C:D,2,0)</f>
        <v>Merullo</v>
      </c>
      <c r="J20" s="10">
        <f>ROUND(IF(Table11[[#This Row],[Location]]="Belmont Market",Table11[[#This Row],[Column2]]*0.01,IF(Table11[[#This Row],[Location]]="Country Club Centre",Table11[[#This Row],[Column2]]*0.01,IF(Table11[[#This Row],[Location]]="Naval Air Station Norfolk",Table11[[#This Row],[Column2]]*0.005,F20*0.02))),2)</f>
        <v>88.14</v>
      </c>
      <c r="K2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0" s="11">
        <f t="shared" si="0"/>
        <v>220.34</v>
      </c>
      <c r="M20" s="10">
        <f t="shared" si="1"/>
        <v>308.48</v>
      </c>
    </row>
    <row r="21" spans="1:13" x14ac:dyDescent="0.25">
      <c r="A21" s="143" t="str">
        <f>IF(Table11[[#This Row],[Date]]=0,"",IF(Table11[[#This Row],[Date]]&lt;(Summary!$B$3-6),1,""))</f>
        <v/>
      </c>
      <c r="B21" s="127">
        <v>46271</v>
      </c>
      <c r="C21" s="16">
        <v>166</v>
      </c>
      <c r="D21" s="16" t="s">
        <v>8</v>
      </c>
      <c r="E21" s="17">
        <v>3286.23</v>
      </c>
      <c r="F21" s="17">
        <v>3005.73</v>
      </c>
      <c r="G21" s="10" t="str">
        <f>VLOOKUP(Table11[[#This Row],[Store]],'Rates from Tracker'!A:B,2,0)</f>
        <v>Centre Avenue</v>
      </c>
      <c r="H21" t="str">
        <f>VLOOKUP(D21,'Rates from Tracker'!A:C,3,0)</f>
        <v>Best Pizza LLC</v>
      </c>
      <c r="I21" t="str">
        <f>VLOOKUP(Table11[[#This Row],[Franchisee]],'Rates from Tracker'!C:D,2,0)</f>
        <v>Merullo</v>
      </c>
      <c r="J21" s="10">
        <f>ROUND(IF(Table11[[#This Row],[Location]]="Belmont Market",Table11[[#This Row],[Column2]]*0.01,IF(Table11[[#This Row],[Location]]="Country Club Centre",Table11[[#This Row],[Column2]]*0.01,IF(Table11[[#This Row],[Location]]="Naval Air Station Norfolk",Table11[[#This Row],[Column2]]*0.005,F21*0.02))),2)</f>
        <v>60.11</v>
      </c>
      <c r="K2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1" s="11">
        <f t="shared" si="0"/>
        <v>150.29</v>
      </c>
      <c r="M21" s="10">
        <f t="shared" si="1"/>
        <v>210.39999999999998</v>
      </c>
    </row>
    <row r="22" spans="1:13" x14ac:dyDescent="0.25">
      <c r="A22" s="143" t="str">
        <f>IF(Table11[[#This Row],[Date]]=0,"",IF(Table11[[#This Row],[Date]]&lt;(Summary!$B$3-6),1,""))</f>
        <v/>
      </c>
      <c r="B22" s="127">
        <v>46271</v>
      </c>
      <c r="C22" s="16">
        <v>172</v>
      </c>
      <c r="D22" s="16" t="s">
        <v>579</v>
      </c>
      <c r="E22" s="17">
        <v>3945.29</v>
      </c>
      <c r="F22" s="17">
        <v>3768.29</v>
      </c>
      <c r="G22" s="10" t="str">
        <f>VLOOKUP(Table11[[#This Row],[Store]],'Rates from Tracker'!A:B,2,0)</f>
        <v>Oakway</v>
      </c>
      <c r="H22" t="str">
        <f>VLOOKUP(D22,'Rates from Tracker'!A:C,3,0)</f>
        <v>SSR Holdings LLC</v>
      </c>
      <c r="I22" t="str">
        <f>VLOOKUP(Table11[[#This Row],[Franchisee]],'Rates from Tracker'!C:D,2,0)</f>
        <v>Bikram</v>
      </c>
      <c r="J22" s="10">
        <f>ROUND(IF(Table11[[#This Row],[Location]]="Belmont Market",Table11[[#This Row],[Column2]]*0.01,IF(Table11[[#This Row],[Location]]="Country Club Centre",Table11[[#This Row],[Column2]]*0.01,IF(Table11[[#This Row],[Location]]="Naval Air Station Norfolk",Table11[[#This Row],[Column2]]*0.005,F22*0.02))),2)</f>
        <v>75.37</v>
      </c>
      <c r="K2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2" s="11">
        <f t="shared" si="0"/>
        <v>37.68</v>
      </c>
      <c r="M22" s="10">
        <f t="shared" si="1"/>
        <v>113.05000000000001</v>
      </c>
    </row>
    <row r="23" spans="1:13" x14ac:dyDescent="0.25">
      <c r="A23" s="143" t="str">
        <f>IF(Table11[[#This Row],[Date]]=0,"",IF(Table11[[#This Row],[Date]]&lt;(Summary!$B$3-6),1,""))</f>
        <v/>
      </c>
      <c r="B23" s="127">
        <v>46271</v>
      </c>
      <c r="C23" s="16">
        <v>204</v>
      </c>
      <c r="D23" s="16" t="s">
        <v>578</v>
      </c>
      <c r="E23" s="17">
        <v>4109.29</v>
      </c>
      <c r="F23" s="17">
        <v>3814.91</v>
      </c>
      <c r="G23" s="10" t="str">
        <f>VLOOKUP(Table11[[#This Row],[Store]],'Rates from Tracker'!A:B,2,0)</f>
        <v>North Medford</v>
      </c>
      <c r="H23" t="str">
        <f>VLOOKUP(D23,'Rates from Tracker'!A:C,3,0)</f>
        <v>SSR Holdings LLC</v>
      </c>
      <c r="I23" t="str">
        <f>VLOOKUP(Table11[[#This Row],[Franchisee]],'Rates from Tracker'!C:D,2,0)</f>
        <v>Bikram</v>
      </c>
      <c r="J23" s="10">
        <f>ROUND(IF(Table11[[#This Row],[Location]]="Belmont Market",Table11[[#This Row],[Column2]]*0.01,IF(Table11[[#This Row],[Location]]="Country Club Centre",Table11[[#This Row],[Column2]]*0.01,IF(Table11[[#This Row],[Location]]="Naval Air Station Norfolk",Table11[[#This Row],[Column2]]*0.005,F23*0.02))),2)</f>
        <v>76.3</v>
      </c>
      <c r="K2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3" s="11">
        <f t="shared" si="0"/>
        <v>38.15</v>
      </c>
      <c r="M23" s="10">
        <f t="shared" si="1"/>
        <v>114.44999999999999</v>
      </c>
    </row>
    <row r="24" spans="1:13" x14ac:dyDescent="0.25">
      <c r="A24" s="143" t="str">
        <f>IF(Table11[[#This Row],[Date]]=0,"",IF(Table11[[#This Row],[Date]]&lt;(Summary!$B$3-6),1,""))</f>
        <v/>
      </c>
      <c r="B24" s="127">
        <v>46271</v>
      </c>
      <c r="C24" s="16">
        <v>210</v>
      </c>
      <c r="D24" s="16" t="s">
        <v>586</v>
      </c>
      <c r="E24" s="17">
        <v>1725.65</v>
      </c>
      <c r="F24" s="17">
        <v>1610.15</v>
      </c>
      <c r="G24" s="10" t="str">
        <f>VLOOKUP(Table11[[#This Row],[Store]],'Rates from Tracker'!A:B,2,0)</f>
        <v>South Eugene</v>
      </c>
      <c r="H24" t="str">
        <f>VLOOKUP(D24,'Rates from Tracker'!A:C,3,0)</f>
        <v>SSR Holdings LLC</v>
      </c>
      <c r="I24" t="str">
        <f>VLOOKUP(Table11[[#This Row],[Franchisee]],'Rates from Tracker'!C:D,2,0)</f>
        <v>Bikram</v>
      </c>
      <c r="J24" s="10">
        <f>ROUND(IF(Table11[[#This Row],[Location]]="Belmont Market",Table11[[#This Row],[Column2]]*0.01,IF(Table11[[#This Row],[Location]]="Country Club Centre",Table11[[#This Row],[Column2]]*0.01,IF(Table11[[#This Row],[Location]]="Naval Air Station Norfolk",Table11[[#This Row],[Column2]]*0.005,F24*0.02))),2)</f>
        <v>32.200000000000003</v>
      </c>
      <c r="K2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4" s="11">
        <f t="shared" si="0"/>
        <v>16.100000000000001</v>
      </c>
      <c r="M24" s="10">
        <f t="shared" si="1"/>
        <v>48.300000000000004</v>
      </c>
    </row>
    <row r="25" spans="1:13" x14ac:dyDescent="0.25">
      <c r="A25" s="143" t="str">
        <f>IF(Table11[[#This Row],[Date]]=0,"",IF(Table11[[#This Row],[Date]]&lt;(Summary!$B$3-6),1,""))</f>
        <v/>
      </c>
      <c r="B25" s="127">
        <v>46271</v>
      </c>
      <c r="C25" s="16">
        <v>212</v>
      </c>
      <c r="D25" s="16" t="s">
        <v>39</v>
      </c>
      <c r="E25" s="17">
        <v>2867.67</v>
      </c>
      <c r="F25" s="17">
        <v>2719.34</v>
      </c>
      <c r="G25" s="10" t="str">
        <f>VLOOKUP(Table11[[#This Row],[Store]],'Rates from Tracker'!A:B,2,0)</f>
        <v>Woodland</v>
      </c>
      <c r="H25" t="str">
        <f>VLOOKUP(D25,'Rates from Tracker'!A:C,3,0)</f>
        <v>Exceed Group Woodland</v>
      </c>
      <c r="I25" t="str">
        <f>VLOOKUP(Table11[[#This Row],[Franchisee]],'Rates from Tracker'!C:D,2,0)</f>
        <v>Chawla</v>
      </c>
      <c r="J25" s="10">
        <f>ROUND(IF(Table11[[#This Row],[Location]]="Belmont Market",Table11[[#This Row],[Column2]]*0.01,IF(Table11[[#This Row],[Location]]="Country Club Centre",Table11[[#This Row],[Column2]]*0.01,IF(Table11[[#This Row],[Location]]="Naval Air Station Norfolk",Table11[[#This Row],[Column2]]*0.005,F25*0.02))),2)</f>
        <v>54.39</v>
      </c>
      <c r="K2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5" s="11">
        <f t="shared" si="0"/>
        <v>135.97</v>
      </c>
      <c r="M25" s="10">
        <f t="shared" si="1"/>
        <v>190.36</v>
      </c>
    </row>
    <row r="26" spans="1:13" x14ac:dyDescent="0.25">
      <c r="A26" s="143" t="str">
        <f>IF(Table11[[#This Row],[Date]]=0,"",IF(Table11[[#This Row],[Date]]&lt;(Summary!$B$3-6),1,""))</f>
        <v/>
      </c>
      <c r="B26" s="127">
        <v>46271</v>
      </c>
      <c r="C26" s="16">
        <v>216</v>
      </c>
      <c r="D26" s="16" t="s">
        <v>23</v>
      </c>
      <c r="E26" s="17">
        <v>3063.41</v>
      </c>
      <c r="F26" s="17">
        <v>2860.92</v>
      </c>
      <c r="G26" s="10" t="str">
        <f>VLOOKUP(Table11[[#This Row],[Store]],'Rates from Tracker'!A:B,2,0)</f>
        <v>NE Columbia</v>
      </c>
      <c r="H26" t="str">
        <f>VLOOKUP(D26,'Rates from Tracker'!A:C,3,0)</f>
        <v>Rolling Dough LLC</v>
      </c>
      <c r="I26" t="str">
        <f>VLOOKUP(Table11[[#This Row],[Franchisee]],'Rates from Tracker'!C:D,2,0)</f>
        <v>Connolly</v>
      </c>
      <c r="J26" s="10">
        <f>ROUND(IF(Table11[[#This Row],[Location]]="Belmont Market",Table11[[#This Row],[Column2]]*0.01,IF(Table11[[#This Row],[Location]]="Country Club Centre",Table11[[#This Row],[Column2]]*0.01,IF(Table11[[#This Row],[Location]]="Naval Air Station Norfolk",Table11[[#This Row],[Column2]]*0.005,F26*0.02))),2)</f>
        <v>57.22</v>
      </c>
      <c r="K2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6" s="11">
        <f t="shared" si="0"/>
        <v>143.05000000000001</v>
      </c>
      <c r="M26" s="10">
        <f t="shared" si="1"/>
        <v>200.27</v>
      </c>
    </row>
    <row r="27" spans="1:13" x14ac:dyDescent="0.25">
      <c r="A27" s="143" t="str">
        <f>IF(Table11[[#This Row],[Date]]=0,"",IF(Table11[[#This Row],[Date]]&lt;(Summary!$B$3-6),1,""))</f>
        <v/>
      </c>
      <c r="B27" s="127">
        <v>46271</v>
      </c>
      <c r="C27" s="16">
        <v>228</v>
      </c>
      <c r="D27" s="16" t="s">
        <v>131</v>
      </c>
      <c r="E27" s="17">
        <v>1566.48</v>
      </c>
      <c r="F27" s="17">
        <v>1529.92</v>
      </c>
      <c r="G27" s="10" t="str">
        <f>VLOOKUP(Table11[[#This Row],[Store]],'Rates from Tracker'!A:B,2,0)</f>
        <v>Auburn Village</v>
      </c>
      <c r="H27" t="str">
        <f>VLOOKUP(D27,'Rates from Tracker'!A:C,3,0)</f>
        <v>Exceed Group Auburn Village</v>
      </c>
      <c r="I27" t="str">
        <f>VLOOKUP(Table11[[#This Row],[Franchisee]],'Rates from Tracker'!C:D,2,0)</f>
        <v>Chawla</v>
      </c>
      <c r="J27" s="10">
        <f>ROUND(IF(Table11[[#This Row],[Location]]="Belmont Market",Table11[[#This Row],[Column2]]*0.01,IF(Table11[[#This Row],[Location]]="Country Club Centre",Table11[[#This Row],[Column2]]*0.01,IF(Table11[[#This Row],[Location]]="Naval Air Station Norfolk",Table11[[#This Row],[Column2]]*0.005,F27*0.02))),2)</f>
        <v>30.6</v>
      </c>
      <c r="K2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7" s="11">
        <f t="shared" si="0"/>
        <v>76.5</v>
      </c>
      <c r="M27" s="10">
        <f t="shared" si="1"/>
        <v>107.1</v>
      </c>
    </row>
    <row r="28" spans="1:13" x14ac:dyDescent="0.25">
      <c r="A28" s="143" t="str">
        <f>IF(Table11[[#This Row],[Date]]=0,"",IF(Table11[[#This Row],[Date]]&lt;(Summary!$B$3-6),1,""))</f>
        <v/>
      </c>
      <c r="B28" s="127">
        <v>46271</v>
      </c>
      <c r="C28" s="16">
        <v>231</v>
      </c>
      <c r="D28" s="16" t="s">
        <v>133</v>
      </c>
      <c r="E28" s="17">
        <v>2835.07</v>
      </c>
      <c r="F28" s="17">
        <v>2806.01</v>
      </c>
      <c r="G28" s="10" t="str">
        <f>VLOOKUP(Table11[[#This Row],[Store]],'Rates from Tracker'!A:B,2,0)</f>
        <v>Kennesaw</v>
      </c>
      <c r="H28" t="str">
        <f>VLOOKUP(D28,'Rates from Tracker'!A:C,3,0)</f>
        <v>Southern Pie LLC</v>
      </c>
      <c r="I28" t="str">
        <f>VLOOKUP(Table11[[#This Row],[Franchisee]],'Rates from Tracker'!C:D,2,0)</f>
        <v>Hill/Hayden</v>
      </c>
      <c r="J28" s="10">
        <f>ROUND(IF(Table11[[#This Row],[Location]]="Belmont Market",Table11[[#This Row],[Column2]]*0.01,IF(Table11[[#This Row],[Location]]="Country Club Centre",Table11[[#This Row],[Column2]]*0.01,IF(Table11[[#This Row],[Location]]="Naval Air Station Norfolk",Table11[[#This Row],[Column2]]*0.005,F28*0.02))),2)</f>
        <v>56.12</v>
      </c>
      <c r="K2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8" s="11">
        <f t="shared" si="0"/>
        <v>140.30000000000001</v>
      </c>
      <c r="M28" s="10">
        <f t="shared" si="1"/>
        <v>196.42000000000002</v>
      </c>
    </row>
    <row r="29" spans="1:13" x14ac:dyDescent="0.25">
      <c r="A29" s="143" t="str">
        <f>IF(Table11[[#This Row],[Date]]=0,"",IF(Table11[[#This Row],[Date]]&lt;(Summary!$B$3-6),1,""))</f>
        <v/>
      </c>
      <c r="B29" s="127">
        <v>46271</v>
      </c>
      <c r="C29" s="16">
        <v>241</v>
      </c>
      <c r="D29" s="16" t="s">
        <v>592</v>
      </c>
      <c r="E29" s="17">
        <v>1614.5</v>
      </c>
      <c r="F29" s="17">
        <v>1528.58</v>
      </c>
      <c r="G29" s="10" t="str">
        <f>VLOOKUP(Table11[[#This Row],[Store]],'Rates from Tracker'!A:B,2,0)</f>
        <v>Woods Cross</v>
      </c>
      <c r="H29" t="str">
        <f>VLOOKUP(D29,'Rates from Tracker'!A:C,3,0)</f>
        <v>SSR Holdings LLC</v>
      </c>
      <c r="I29" t="str">
        <f>VLOOKUP(Table11[[#This Row],[Franchisee]],'Rates from Tracker'!C:D,2,0)</f>
        <v>Bikram</v>
      </c>
      <c r="J29" s="10">
        <f>ROUND(IF(Table11[[#This Row],[Location]]="Belmont Market",Table11[[#This Row],[Column2]]*0.01,IF(Table11[[#This Row],[Location]]="Country Club Centre",Table11[[#This Row],[Column2]]*0.01,IF(Table11[[#This Row],[Location]]="Naval Air Station Norfolk",Table11[[#This Row],[Column2]]*0.005,F29*0.02))),2)</f>
        <v>30.57</v>
      </c>
      <c r="K2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9" s="11">
        <f t="shared" si="0"/>
        <v>15.29</v>
      </c>
      <c r="M29" s="10">
        <f t="shared" si="1"/>
        <v>45.86</v>
      </c>
    </row>
    <row r="30" spans="1:13" x14ac:dyDescent="0.25">
      <c r="A30" s="143" t="str">
        <f>IF(Table11[[#This Row],[Date]]=0,"",IF(Table11[[#This Row],[Date]]&lt;(Summary!$B$3-6),1,""))</f>
        <v/>
      </c>
      <c r="B30" s="127">
        <v>46271</v>
      </c>
      <c r="C30" s="16">
        <v>244</v>
      </c>
      <c r="D30" s="16" t="s">
        <v>155</v>
      </c>
      <c r="E30" s="17">
        <v>1766.83</v>
      </c>
      <c r="F30" s="17">
        <v>1659.11</v>
      </c>
      <c r="G30" s="10" t="str">
        <f>VLOOKUP(Table11[[#This Row],[Store]],'Rates from Tracker'!A:B,2,0)</f>
        <v>Redfield Promenade</v>
      </c>
      <c r="H30" t="str">
        <f>VLOOKUP(D30,'Rates from Tracker'!A:C,3,0)</f>
        <v>Exceed Group Redfield Promenade</v>
      </c>
      <c r="I30" t="str">
        <f>VLOOKUP(Table11[[#This Row],[Franchisee]],'Rates from Tracker'!C:D,2,0)</f>
        <v>Chawla</v>
      </c>
      <c r="J30" s="10">
        <f>ROUND(IF(Table11[[#This Row],[Location]]="Belmont Market",Table11[[#This Row],[Column2]]*0.01,IF(Table11[[#This Row],[Location]]="Country Club Centre",Table11[[#This Row],[Column2]]*0.01,IF(Table11[[#This Row],[Location]]="Naval Air Station Norfolk",Table11[[#This Row],[Column2]]*0.005,F30*0.02))),2)</f>
        <v>33.18</v>
      </c>
      <c r="K3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0" s="11">
        <f t="shared" si="0"/>
        <v>82.96</v>
      </c>
      <c r="M30" s="10">
        <f t="shared" si="1"/>
        <v>116.13999999999999</v>
      </c>
    </row>
    <row r="31" spans="1:13" x14ac:dyDescent="0.25">
      <c r="A31" s="143" t="str">
        <f>IF(Table11[[#This Row],[Date]]=0,"",IF(Table11[[#This Row],[Date]]&lt;(Summary!$B$3-6),1,""))</f>
        <v/>
      </c>
      <c r="B31" s="127">
        <v>46271</v>
      </c>
      <c r="C31" s="16">
        <v>245</v>
      </c>
      <c r="D31" s="16" t="s">
        <v>157</v>
      </c>
      <c r="E31" s="17">
        <v>2067.91</v>
      </c>
      <c r="F31" s="17">
        <v>1916.14</v>
      </c>
      <c r="G31" s="10" t="str">
        <f>VLOOKUP(Table11[[#This Row],[Store]],'Rates from Tracker'!A:B,2,0)</f>
        <v>Evansville #11</v>
      </c>
      <c r="H31" t="str">
        <f>VLOOKUP(D31,'Rates from Tracker'!A:C,3,0)</f>
        <v>Cool Dough Development, LLC</v>
      </c>
      <c r="I31" t="str">
        <f>VLOOKUP(Table11[[#This Row],[Franchisee]],'Rates from Tracker'!C:D,2,0)</f>
        <v>Denning</v>
      </c>
      <c r="J31" s="10">
        <f>ROUND(IF(Table11[[#This Row],[Location]]="Belmont Market",Table11[[#This Row],[Column2]]*0.01,IF(Table11[[#This Row],[Location]]="Country Club Centre",Table11[[#This Row],[Column2]]*0.01,IF(Table11[[#This Row],[Location]]="Naval Air Station Norfolk",Table11[[#This Row],[Column2]]*0.005,F31*0.02))),2)</f>
        <v>38.32</v>
      </c>
      <c r="K3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1" s="11">
        <f t="shared" si="0"/>
        <v>95.81</v>
      </c>
      <c r="M31" s="10">
        <f t="shared" si="1"/>
        <v>134.13</v>
      </c>
    </row>
    <row r="32" spans="1:13" x14ac:dyDescent="0.25">
      <c r="A32" s="143" t="str">
        <f>IF(Table11[[#This Row],[Date]]=0,"",IF(Table11[[#This Row],[Date]]&lt;(Summary!$B$3-6),1,""))</f>
        <v/>
      </c>
      <c r="B32" s="127">
        <v>46271</v>
      </c>
      <c r="C32" s="16">
        <v>251</v>
      </c>
      <c r="D32" s="16" t="s">
        <v>258</v>
      </c>
      <c r="E32" s="17">
        <v>5628.68</v>
      </c>
      <c r="F32" s="17">
        <v>5230.79</v>
      </c>
      <c r="G32" s="10" t="str">
        <f>VLOOKUP(Table11[[#This Row],[Store]],'Rates from Tracker'!A:B,2,0)</f>
        <v>Westminster Promenade</v>
      </c>
      <c r="H32" t="str">
        <f>VLOOKUP(D32,'Rates from Tracker'!A:C,3,0)</f>
        <v>Best Pizza LLC</v>
      </c>
      <c r="I32" t="str">
        <f>VLOOKUP(Table11[[#This Row],[Franchisee]],'Rates from Tracker'!C:D,2,0)</f>
        <v>Merullo</v>
      </c>
      <c r="J32" s="10">
        <f>ROUND(IF(Table11[[#This Row],[Location]]="Belmont Market",Table11[[#This Row],[Column2]]*0.01,IF(Table11[[#This Row],[Location]]="Country Club Centre",Table11[[#This Row],[Column2]]*0.01,IF(Table11[[#This Row],[Location]]="Naval Air Station Norfolk",Table11[[#This Row],[Column2]]*0.005,F32*0.02))),2)</f>
        <v>104.62</v>
      </c>
      <c r="K3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2" s="11">
        <f t="shared" si="0"/>
        <v>261.54000000000002</v>
      </c>
      <c r="M32" s="10">
        <f t="shared" si="1"/>
        <v>366.16</v>
      </c>
    </row>
    <row r="33" spans="1:13" x14ac:dyDescent="0.25">
      <c r="A33" s="143" t="str">
        <f>IF(Table11[[#This Row],[Date]]=0,"",IF(Table11[[#This Row],[Date]]&lt;(Summary!$B$3-6),1,""))</f>
        <v/>
      </c>
      <c r="B33" s="127">
        <v>46271</v>
      </c>
      <c r="C33" s="16">
        <v>253</v>
      </c>
      <c r="D33" s="16" t="s">
        <v>580</v>
      </c>
      <c r="E33" s="17">
        <v>3464.27</v>
      </c>
      <c r="F33" s="17">
        <v>3364.79</v>
      </c>
      <c r="G33" s="10" t="str">
        <f>VLOOKUP(Table11[[#This Row],[Store]],'Rates from Tracker'!A:B,2,0)</f>
        <v>Park City</v>
      </c>
      <c r="H33" t="str">
        <f>VLOOKUP(D33,'Rates from Tracker'!A:C,3,0)</f>
        <v>SSR Holdings LLC</v>
      </c>
      <c r="I33" t="str">
        <f>VLOOKUP(Table11[[#This Row],[Franchisee]],'Rates from Tracker'!C:D,2,0)</f>
        <v>Bikram</v>
      </c>
      <c r="J33" s="10">
        <f>ROUND(IF(Table11[[#This Row],[Location]]="Belmont Market",Table11[[#This Row],[Column2]]*0.01,IF(Table11[[#This Row],[Location]]="Country Club Centre",Table11[[#This Row],[Column2]]*0.01,IF(Table11[[#This Row],[Location]]="Naval Air Station Norfolk",Table11[[#This Row],[Column2]]*0.005,F33*0.02))),2)</f>
        <v>67.3</v>
      </c>
      <c r="K3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3" s="11">
        <f t="shared" si="0"/>
        <v>33.65</v>
      </c>
      <c r="M33" s="10">
        <f t="shared" si="1"/>
        <v>100.94999999999999</v>
      </c>
    </row>
    <row r="34" spans="1:13" x14ac:dyDescent="0.25">
      <c r="A34" s="143" t="str">
        <f>IF(Table11[[#This Row],[Date]]=0,"",IF(Table11[[#This Row],[Date]]&lt;(Summary!$B$3-6),1,""))</f>
        <v/>
      </c>
      <c r="B34" s="127">
        <v>46271</v>
      </c>
      <c r="C34" s="16">
        <v>256</v>
      </c>
      <c r="D34" s="16" t="s">
        <v>266</v>
      </c>
      <c r="E34" s="17">
        <v>4622.47</v>
      </c>
      <c r="F34" s="17">
        <v>4233.91</v>
      </c>
      <c r="G34" s="10" t="str">
        <f>VLOOKUP(Table11[[#This Row],[Store]],'Rates from Tracker'!A:B,2,0)</f>
        <v>S Academy Highlands</v>
      </c>
      <c r="H34" t="str">
        <f>VLOOKUP(D34,'Rates from Tracker'!A:C,3,0)</f>
        <v>Best Pizza LLC</v>
      </c>
      <c r="I34" t="str">
        <f>VLOOKUP(Table11[[#This Row],[Franchisee]],'Rates from Tracker'!C:D,2,0)</f>
        <v>Merullo</v>
      </c>
      <c r="J34" s="10">
        <f>ROUND(IF(Table11[[#This Row],[Location]]="Belmont Market",Table11[[#This Row],[Column2]]*0.01,IF(Table11[[#This Row],[Location]]="Country Club Centre",Table11[[#This Row],[Column2]]*0.01,IF(Table11[[#This Row],[Location]]="Naval Air Station Norfolk",Table11[[#This Row],[Column2]]*0.005,F34*0.02))),2)</f>
        <v>84.68</v>
      </c>
      <c r="K3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4" s="11">
        <f t="shared" si="0"/>
        <v>211.7</v>
      </c>
      <c r="M34" s="10">
        <f t="shared" si="1"/>
        <v>296.38</v>
      </c>
    </row>
    <row r="35" spans="1:13" x14ac:dyDescent="0.25">
      <c r="A35" s="143" t="str">
        <f>IF(Table11[[#This Row],[Date]]=0,"",IF(Table11[[#This Row],[Date]]&lt;(Summary!$B$3-6),1,""))</f>
        <v/>
      </c>
      <c r="B35" s="127">
        <v>46271</v>
      </c>
      <c r="C35" s="16">
        <v>258</v>
      </c>
      <c r="D35" s="16" t="s">
        <v>582</v>
      </c>
      <c r="E35" s="17">
        <v>1728.48</v>
      </c>
      <c r="F35" s="17">
        <v>1691.12</v>
      </c>
      <c r="G35" s="10" t="str">
        <f>VLOOKUP(Table11[[#This Row],[Store]],'Rates from Tracker'!A:B,2,0)</f>
        <v>Riverdale</v>
      </c>
      <c r="H35" t="str">
        <f>VLOOKUP(D35,'Rates from Tracker'!A:C,3,0)</f>
        <v>SSR Holdings LLC</v>
      </c>
      <c r="I35" t="str">
        <f>VLOOKUP(Table11[[#This Row],[Franchisee]],'Rates from Tracker'!C:D,2,0)</f>
        <v>Bikram</v>
      </c>
      <c r="J35" s="10">
        <f>ROUND(IF(Table11[[#This Row],[Location]]="Belmont Market",Table11[[#This Row],[Column2]]*0.01,IF(Table11[[#This Row],[Location]]="Country Club Centre",Table11[[#This Row],[Column2]]*0.01,IF(Table11[[#This Row],[Location]]="Naval Air Station Norfolk",Table11[[#This Row],[Column2]]*0.005,F35*0.02))),2)</f>
        <v>33.82</v>
      </c>
      <c r="K3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5" s="11">
        <f t="shared" si="0"/>
        <v>16.91</v>
      </c>
      <c r="M35" s="10">
        <f t="shared" si="1"/>
        <v>50.730000000000004</v>
      </c>
    </row>
    <row r="36" spans="1:13" x14ac:dyDescent="0.25">
      <c r="A36" s="143" t="str">
        <f>IF(Table11[[#This Row],[Date]]=0,"",IF(Table11[[#This Row],[Date]]&lt;(Summary!$B$3-6),1,""))</f>
        <v/>
      </c>
      <c r="B36" s="127">
        <v>46271</v>
      </c>
      <c r="C36" s="16">
        <v>260</v>
      </c>
      <c r="D36" s="16" t="s">
        <v>280</v>
      </c>
      <c r="E36" s="17">
        <v>4864.92</v>
      </c>
      <c r="F36" s="17">
        <v>4382.91</v>
      </c>
      <c r="G36" s="10" t="str">
        <f>VLOOKUP(Table11[[#This Row],[Store]],'Rates from Tracker'!A:B,2,0)</f>
        <v>Highlands Ranch</v>
      </c>
      <c r="H36" t="str">
        <f>VLOOKUP(D36,'Rates from Tracker'!A:C,3,0)</f>
        <v>Best Pizza LLC</v>
      </c>
      <c r="I36" t="str">
        <f>VLOOKUP(Table11[[#This Row],[Franchisee]],'Rates from Tracker'!C:D,2,0)</f>
        <v>Merullo</v>
      </c>
      <c r="J36" s="10">
        <f>ROUND(IF(Table11[[#This Row],[Location]]="Belmont Market",Table11[[#This Row],[Column2]]*0.01,IF(Table11[[#This Row],[Location]]="Country Club Centre",Table11[[#This Row],[Column2]]*0.01,IF(Table11[[#This Row],[Location]]="Naval Air Station Norfolk",Table11[[#This Row],[Column2]]*0.005,F36*0.02))),2)</f>
        <v>87.66</v>
      </c>
      <c r="K3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6" s="11">
        <f t="shared" si="0"/>
        <v>219.15</v>
      </c>
      <c r="M36" s="10">
        <f t="shared" si="1"/>
        <v>306.81</v>
      </c>
    </row>
    <row r="37" spans="1:13" x14ac:dyDescent="0.25">
      <c r="A37" s="143" t="str">
        <f>IF(Table11[[#This Row],[Date]]=0,"",IF(Table11[[#This Row],[Date]]&lt;(Summary!$B$3-6),1,""))</f>
        <v/>
      </c>
      <c r="B37" s="127">
        <v>46271</v>
      </c>
      <c r="C37" s="16">
        <v>265</v>
      </c>
      <c r="D37" s="16" t="s">
        <v>267</v>
      </c>
      <c r="E37" s="17">
        <v>7495.09</v>
      </c>
      <c r="F37" s="17">
        <v>6707.49</v>
      </c>
      <c r="G37" s="10" t="str">
        <f>VLOOKUP(Table11[[#This Row],[Store]],'Rates from Tracker'!A:B,2,0)</f>
        <v>Dublin Commons</v>
      </c>
      <c r="H37" t="str">
        <f>VLOOKUP(D37,'Rates from Tracker'!A:C,3,0)</f>
        <v>Best Pizza LLC</v>
      </c>
      <c r="I37" t="str">
        <f>VLOOKUP(Table11[[#This Row],[Franchisee]],'Rates from Tracker'!C:D,2,0)</f>
        <v>Merullo</v>
      </c>
      <c r="J37" s="10">
        <f>ROUND(IF(Table11[[#This Row],[Location]]="Belmont Market",Table11[[#This Row],[Column2]]*0.01,IF(Table11[[#This Row],[Location]]="Country Club Centre",Table11[[#This Row],[Column2]]*0.01,IF(Table11[[#This Row],[Location]]="Naval Air Station Norfolk",Table11[[#This Row],[Column2]]*0.005,F37*0.02))),2)</f>
        <v>134.15</v>
      </c>
      <c r="K3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7" s="11">
        <f t="shared" si="0"/>
        <v>335.37</v>
      </c>
      <c r="M37" s="10">
        <f t="shared" si="1"/>
        <v>469.52</v>
      </c>
    </row>
    <row r="38" spans="1:13" x14ac:dyDescent="0.25">
      <c r="A38" s="143" t="str">
        <f>IF(Table11[[#This Row],[Date]]=0,"",IF(Table11[[#This Row],[Date]]&lt;(Summary!$B$3-6),1,""))</f>
        <v/>
      </c>
      <c r="B38" s="127">
        <v>46271</v>
      </c>
      <c r="C38" s="16">
        <v>267</v>
      </c>
      <c r="D38" s="16" t="s">
        <v>281</v>
      </c>
      <c r="E38" s="17">
        <v>1824.76</v>
      </c>
      <c r="F38" s="17">
        <v>1793.73</v>
      </c>
      <c r="G38" s="10" t="str">
        <f>VLOOKUP(Table11[[#This Row],[Store]],'Rates from Tracker'!A:B,2,0)</f>
        <v>Decatur</v>
      </c>
      <c r="H38" t="str">
        <f>VLOOKUP(D38,'Rates from Tracker'!A:C,3,0)</f>
        <v>DAZ9</v>
      </c>
      <c r="I38" t="str">
        <f>VLOOKUP(Table11[[#This Row],[Franchisee]],'Rates from Tracker'!C:D,2,0)</f>
        <v>Neal Patel</v>
      </c>
      <c r="J38" s="10">
        <f>ROUND(IF(Table11[[#This Row],[Location]]="Belmont Market",Table11[[#This Row],[Column2]]*0.01,IF(Table11[[#This Row],[Location]]="Country Club Centre",Table11[[#This Row],[Column2]]*0.01,IF(Table11[[#This Row],[Location]]="Naval Air Station Norfolk",Table11[[#This Row],[Column2]]*0.005,F38*0.02))),2)</f>
        <v>35.869999999999997</v>
      </c>
      <c r="K3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8" s="11">
        <f t="shared" si="0"/>
        <v>17.940000000000001</v>
      </c>
      <c r="M38" s="10">
        <f t="shared" si="1"/>
        <v>53.81</v>
      </c>
    </row>
    <row r="39" spans="1:13" x14ac:dyDescent="0.25">
      <c r="A39" s="143" t="str">
        <f>IF(Table11[[#This Row],[Date]]=0,"",IF(Table11[[#This Row],[Date]]&lt;(Summary!$B$3-6),1,""))</f>
        <v/>
      </c>
      <c r="B39" s="127">
        <v>46271</v>
      </c>
      <c r="C39" s="16">
        <v>272</v>
      </c>
      <c r="D39" s="16" t="s">
        <v>290</v>
      </c>
      <c r="E39" s="17">
        <v>3210.59</v>
      </c>
      <c r="F39" s="17">
        <v>2936.9</v>
      </c>
      <c r="G39" s="10" t="str">
        <f>VLOOKUP(Table11[[#This Row],[Store]],'Rates from Tracker'!A:B,2,0)</f>
        <v>Northfield Commons</v>
      </c>
      <c r="H39" t="str">
        <f>VLOOKUP(D39,'Rates from Tracker'!A:C,3,0)</f>
        <v>Best Pizza LLC</v>
      </c>
      <c r="I39" t="str">
        <f>VLOOKUP(Table11[[#This Row],[Franchisee]],'Rates from Tracker'!C:D,2,0)</f>
        <v>Merullo</v>
      </c>
      <c r="J39" s="10">
        <f>ROUND(IF(Table11[[#This Row],[Location]]="Belmont Market",Table11[[#This Row],[Column2]]*0.01,IF(Table11[[#This Row],[Location]]="Country Club Centre",Table11[[#This Row],[Column2]]*0.01,IF(Table11[[#This Row],[Location]]="Naval Air Station Norfolk",Table11[[#This Row],[Column2]]*0.005,F39*0.02))),2)</f>
        <v>58.74</v>
      </c>
      <c r="K3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9" s="11">
        <f t="shared" si="0"/>
        <v>146.85</v>
      </c>
      <c r="M39" s="10">
        <f t="shared" si="1"/>
        <v>205.59</v>
      </c>
    </row>
    <row r="40" spans="1:13" x14ac:dyDescent="0.25">
      <c r="A40" s="143" t="str">
        <f>IF(Table11[[#This Row],[Date]]=0,"",IF(Table11[[#This Row],[Date]]&lt;(Summary!$B$3-6),1,""))</f>
        <v/>
      </c>
      <c r="B40" s="127">
        <v>46271</v>
      </c>
      <c r="C40" s="16">
        <v>278</v>
      </c>
      <c r="D40" s="16" t="s">
        <v>284</v>
      </c>
      <c r="E40" s="17">
        <v>2071.23</v>
      </c>
      <c r="F40" s="17">
        <v>1804.03</v>
      </c>
      <c r="G40" s="10" t="str">
        <f>VLOOKUP(Table11[[#This Row],[Store]],'Rates from Tracker'!A:B,2,0)</f>
        <v>Diamond Circle</v>
      </c>
      <c r="H40" t="str">
        <f>VLOOKUP(D40,'Rates from Tracker'!A:C,3,0)</f>
        <v>Best Pizza LLC</v>
      </c>
      <c r="I40" t="str">
        <f>VLOOKUP(Table11[[#This Row],[Franchisee]],'Rates from Tracker'!C:D,2,0)</f>
        <v>Merullo</v>
      </c>
      <c r="J40" s="10">
        <f>ROUND(IF(Table11[[#This Row],[Location]]="Belmont Market",Table11[[#This Row],[Column2]]*0.01,IF(Table11[[#This Row],[Location]]="Country Club Centre",Table11[[#This Row],[Column2]]*0.01,IF(Table11[[#This Row],[Location]]="Naval Air Station Norfolk",Table11[[#This Row],[Column2]]*0.005,F40*0.02))),2)</f>
        <v>36.08</v>
      </c>
      <c r="K4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0" s="11">
        <f t="shared" si="0"/>
        <v>90.2</v>
      </c>
      <c r="M40" s="10">
        <f t="shared" si="1"/>
        <v>126.28</v>
      </c>
    </row>
    <row r="41" spans="1:13" x14ac:dyDescent="0.25">
      <c r="A41" s="143" t="str">
        <f>IF(Table11[[#This Row],[Date]]=0,"",IF(Table11[[#This Row],[Date]]&lt;(Summary!$B$3-6),1,""))</f>
        <v/>
      </c>
      <c r="B41" s="127">
        <v>46271</v>
      </c>
      <c r="C41" s="16">
        <v>279</v>
      </c>
      <c r="D41" s="16" t="s">
        <v>299</v>
      </c>
      <c r="E41" s="17">
        <v>3635.15</v>
      </c>
      <c r="F41" s="17">
        <v>3266.27</v>
      </c>
      <c r="G41" s="10" t="str">
        <f>VLOOKUP(Table11[[#This Row],[Store]],'Rates from Tracker'!A:B,2,0)</f>
        <v>Lexington</v>
      </c>
      <c r="H41" t="str">
        <f>VLOOKUP(D41,'Rates from Tracker'!A:C,3,0)</f>
        <v>Rolling Dough LLC</v>
      </c>
      <c r="I41" t="str">
        <f>VLOOKUP(Table11[[#This Row],[Franchisee]],'Rates from Tracker'!C:D,2,0)</f>
        <v>Connolly</v>
      </c>
      <c r="J41" s="10">
        <f>ROUND(IF(Table11[[#This Row],[Location]]="Belmont Market",Table11[[#This Row],[Column2]]*0.01,IF(Table11[[#This Row],[Location]]="Country Club Centre",Table11[[#This Row],[Column2]]*0.01,IF(Table11[[#This Row],[Location]]="Naval Air Station Norfolk",Table11[[#This Row],[Column2]]*0.005,F41*0.02))),2)</f>
        <v>65.33</v>
      </c>
      <c r="K4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1" s="11">
        <f t="shared" si="0"/>
        <v>163.31</v>
      </c>
      <c r="M41" s="10">
        <f t="shared" si="1"/>
        <v>228.64</v>
      </c>
    </row>
    <row r="42" spans="1:13" x14ac:dyDescent="0.25">
      <c r="A42" s="143" t="str">
        <f>IF(Table11[[#This Row],[Date]]=0,"",IF(Table11[[#This Row],[Date]]&lt;(Summary!$B$3-6),1,""))</f>
        <v/>
      </c>
      <c r="B42" s="127">
        <v>46271</v>
      </c>
      <c r="C42" s="16">
        <v>285</v>
      </c>
      <c r="D42" s="16" t="s">
        <v>288</v>
      </c>
      <c r="E42" s="17">
        <v>4647.67</v>
      </c>
      <c r="F42" s="17">
        <v>4247.37</v>
      </c>
      <c r="G42" s="10" t="str">
        <f>VLOOKUP(Table11[[#This Row],[Store]],'Rates from Tracker'!A:B,2,0)</f>
        <v>Polaris Pointe</v>
      </c>
      <c r="H42" t="str">
        <f>VLOOKUP(D42,'Rates from Tracker'!A:C,3,0)</f>
        <v>Best Pizza LLC</v>
      </c>
      <c r="I42" t="str">
        <f>VLOOKUP(Table11[[#This Row],[Franchisee]],'Rates from Tracker'!C:D,2,0)</f>
        <v>Merullo</v>
      </c>
      <c r="J42" s="10">
        <f>ROUND(IF(Table11[[#This Row],[Location]]="Belmont Market",Table11[[#This Row],[Column2]]*0.01,IF(Table11[[#This Row],[Location]]="Country Club Centre",Table11[[#This Row],[Column2]]*0.01,IF(Table11[[#This Row],[Location]]="Naval Air Station Norfolk",Table11[[#This Row],[Column2]]*0.005,F42*0.02))),2)</f>
        <v>84.95</v>
      </c>
      <c r="K4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2" s="11">
        <f t="shared" si="0"/>
        <v>212.37</v>
      </c>
      <c r="M42" s="10">
        <f t="shared" si="1"/>
        <v>297.32</v>
      </c>
    </row>
    <row r="43" spans="1:13" x14ac:dyDescent="0.25">
      <c r="A43" s="143" t="str">
        <f>IF(Table11[[#This Row],[Date]]=0,"",IF(Table11[[#This Row],[Date]]&lt;(Summary!$B$3-6),1,""))</f>
        <v/>
      </c>
      <c r="B43" s="127">
        <v>46271</v>
      </c>
      <c r="C43" s="16">
        <v>292</v>
      </c>
      <c r="D43" s="16" t="s">
        <v>296</v>
      </c>
      <c r="E43" s="17">
        <v>4226.01</v>
      </c>
      <c r="F43" s="17">
        <v>3752.02</v>
      </c>
      <c r="G43" s="10" t="str">
        <f>VLOOKUP(Table11[[#This Row],[Store]],'Rates from Tracker'!A:B,2,0)</f>
        <v>Greeley</v>
      </c>
      <c r="H43" t="str">
        <f>VLOOKUP(D43,'Rates from Tracker'!A:C,3,0)</f>
        <v>Best Pizza LLC</v>
      </c>
      <c r="I43" t="str">
        <f>VLOOKUP(Table11[[#This Row],[Franchisee]],'Rates from Tracker'!C:D,2,0)</f>
        <v>Merullo</v>
      </c>
      <c r="J43" s="10">
        <f>ROUND(IF(Table11[[#This Row],[Location]]="Belmont Market",Table11[[#This Row],[Column2]]*0.01,IF(Table11[[#This Row],[Location]]="Country Club Centre",Table11[[#This Row],[Column2]]*0.01,IF(Table11[[#This Row],[Location]]="Naval Air Station Norfolk",Table11[[#This Row],[Column2]]*0.005,F43*0.02))),2)</f>
        <v>75.040000000000006</v>
      </c>
      <c r="K4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3" s="11">
        <f t="shared" si="0"/>
        <v>187.6</v>
      </c>
      <c r="M43" s="10">
        <f t="shared" si="1"/>
        <v>262.64</v>
      </c>
    </row>
    <row r="44" spans="1:13" x14ac:dyDescent="0.25">
      <c r="A44" s="143" t="str">
        <f>IF(Table11[[#This Row],[Date]]=0,"",IF(Table11[[#This Row],[Date]]&lt;(Summary!$B$3-6),1,""))</f>
        <v/>
      </c>
      <c r="B44" s="127">
        <v>46271</v>
      </c>
      <c r="C44" s="16">
        <v>293</v>
      </c>
      <c r="D44" s="16" t="s">
        <v>320</v>
      </c>
      <c r="E44" s="17">
        <v>2025.18</v>
      </c>
      <c r="F44" s="17">
        <v>1889.76</v>
      </c>
      <c r="G44" s="10" t="str">
        <f>VLOOKUP(Table11[[#This Row],[Store]],'Rates from Tracker'!A:B,2,0)</f>
        <v>West Sacramento</v>
      </c>
      <c r="H44" t="str">
        <f>VLOOKUP(D44,'Rates from Tracker'!A:C,3,0)</f>
        <v>Exceed Group West Sacramento</v>
      </c>
      <c r="I44" t="str">
        <f>VLOOKUP(Table11[[#This Row],[Franchisee]],'Rates from Tracker'!C:D,2,0)</f>
        <v>Chawla</v>
      </c>
      <c r="J44" s="10">
        <f>ROUND(IF(Table11[[#This Row],[Location]]="Belmont Market",Table11[[#This Row],[Column2]]*0.01,IF(Table11[[#This Row],[Location]]="Country Club Centre",Table11[[#This Row],[Column2]]*0.01,IF(Table11[[#This Row],[Location]]="Naval Air Station Norfolk",Table11[[#This Row],[Column2]]*0.005,F44*0.02))),2)</f>
        <v>37.799999999999997</v>
      </c>
      <c r="K4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4" s="11">
        <f t="shared" si="0"/>
        <v>94.49</v>
      </c>
      <c r="M44" s="10">
        <f t="shared" si="1"/>
        <v>132.29</v>
      </c>
    </row>
    <row r="45" spans="1:13" x14ac:dyDescent="0.25">
      <c r="A45" s="143" t="str">
        <f>IF(Table11[[#This Row],[Date]]=0,"",IF(Table11[[#This Row],[Date]]&lt;(Summary!$B$3-6),1,""))</f>
        <v/>
      </c>
      <c r="B45" s="127">
        <v>46271</v>
      </c>
      <c r="C45" s="16">
        <v>296</v>
      </c>
      <c r="D45" s="16" t="s">
        <v>329</v>
      </c>
      <c r="E45" s="17">
        <v>2216.89</v>
      </c>
      <c r="F45" s="17">
        <v>2069.42</v>
      </c>
      <c r="G45" s="10" t="str">
        <f>VLOOKUP(Table11[[#This Row],[Store]],'Rates from Tracker'!A:B,2,0)</f>
        <v>Rancho Cordova</v>
      </c>
      <c r="H45" t="str">
        <f>VLOOKUP(D45,'Rates from Tracker'!A:C,3,0)</f>
        <v>Exceed Group Rancho Cordova</v>
      </c>
      <c r="I45" t="str">
        <f>VLOOKUP(Table11[[#This Row],[Franchisee]],'Rates from Tracker'!C:D,2,0)</f>
        <v>Chawla</v>
      </c>
      <c r="J45" s="10">
        <f>ROUND(IF(Table11[[#This Row],[Location]]="Belmont Market",Table11[[#This Row],[Column2]]*0.01,IF(Table11[[#This Row],[Location]]="Country Club Centre",Table11[[#This Row],[Column2]]*0.01,IF(Table11[[#This Row],[Location]]="Naval Air Station Norfolk",Table11[[#This Row],[Column2]]*0.005,F45*0.02))),2)</f>
        <v>41.39</v>
      </c>
      <c r="K4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5" s="11">
        <f t="shared" si="0"/>
        <v>103.47</v>
      </c>
      <c r="M45" s="10">
        <f t="shared" si="1"/>
        <v>144.86000000000001</v>
      </c>
    </row>
    <row r="46" spans="1:13" x14ac:dyDescent="0.25">
      <c r="A46" s="143" t="str">
        <f>IF(Table11[[#This Row],[Date]]=0,"",IF(Table11[[#This Row],[Date]]&lt;(Summary!$B$3-6),1,""))</f>
        <v/>
      </c>
      <c r="B46" s="127">
        <v>46271</v>
      </c>
      <c r="C46" s="16">
        <v>324</v>
      </c>
      <c r="D46" s="16" t="s">
        <v>569</v>
      </c>
      <c r="E46" s="17">
        <v>1933.9</v>
      </c>
      <c r="F46" s="17">
        <v>1844.69</v>
      </c>
      <c r="G46" s="10" t="str">
        <f>VLOOKUP(Table11[[#This Row],[Store]],'Rates from Tracker'!A:B,2,0)</f>
        <v>American Fork</v>
      </c>
      <c r="H46" t="str">
        <f>VLOOKUP(D46,'Rates from Tracker'!A:C,3,0)</f>
        <v>SSR Holdings LLC</v>
      </c>
      <c r="I46" t="str">
        <f>VLOOKUP(Table11[[#This Row],[Franchisee]],'Rates from Tracker'!C:D,2,0)</f>
        <v>Bikram</v>
      </c>
      <c r="J46" s="10">
        <f>ROUND(IF(Table11[[#This Row],[Location]]="Belmont Market",Table11[[#This Row],[Column2]]*0.01,IF(Table11[[#This Row],[Location]]="Country Club Centre",Table11[[#This Row],[Column2]]*0.01,IF(Table11[[#This Row],[Location]]="Naval Air Station Norfolk",Table11[[#This Row],[Column2]]*0.005,F46*0.02))),2)</f>
        <v>36.89</v>
      </c>
      <c r="K4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6" s="11">
        <f t="shared" si="0"/>
        <v>18.45</v>
      </c>
      <c r="M46" s="10">
        <f t="shared" si="1"/>
        <v>55.34</v>
      </c>
    </row>
    <row r="47" spans="1:13" x14ac:dyDescent="0.25">
      <c r="A47" s="143" t="str">
        <f>IF(Table11[[#This Row],[Date]]=0,"",IF(Table11[[#This Row],[Date]]&lt;(Summary!$B$3-6),1,""))</f>
        <v/>
      </c>
      <c r="B47" s="127">
        <v>46271</v>
      </c>
      <c r="C47" s="16">
        <v>325</v>
      </c>
      <c r="D47" s="16" t="s">
        <v>591</v>
      </c>
      <c r="E47" s="17">
        <v>2689.85</v>
      </c>
      <c r="F47" s="17">
        <v>2572.9</v>
      </c>
      <c r="G47" s="10" t="str">
        <f>VLOOKUP(Table11[[#This Row],[Store]],'Rates from Tracker'!A:B,2,0)</f>
        <v>Sugar House</v>
      </c>
      <c r="H47" t="str">
        <f>VLOOKUP(D47,'Rates from Tracker'!A:C,3,0)</f>
        <v>SSR Holdings LLC</v>
      </c>
      <c r="I47" t="str">
        <f>VLOOKUP(Table11[[#This Row],[Franchisee]],'Rates from Tracker'!C:D,2,0)</f>
        <v>Bikram</v>
      </c>
      <c r="J47" s="10">
        <f>ROUND(IF(Table11[[#This Row],[Location]]="Belmont Market",Table11[[#This Row],[Column2]]*0.01,IF(Table11[[#This Row],[Location]]="Country Club Centre",Table11[[#This Row],[Column2]]*0.01,IF(Table11[[#This Row],[Location]]="Naval Air Station Norfolk",Table11[[#This Row],[Column2]]*0.005,F47*0.02))),2)</f>
        <v>51.46</v>
      </c>
      <c r="K4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7" s="11">
        <f t="shared" si="0"/>
        <v>25.73</v>
      </c>
      <c r="M47" s="10">
        <f t="shared" si="1"/>
        <v>77.19</v>
      </c>
    </row>
    <row r="48" spans="1:13" x14ac:dyDescent="0.25">
      <c r="A48" s="143" t="str">
        <f>IF(Table11[[#This Row],[Date]]=0,"",IF(Table11[[#This Row],[Date]]&lt;(Summary!$B$3-6),1,""))</f>
        <v/>
      </c>
      <c r="B48" s="127">
        <v>46271</v>
      </c>
      <c r="C48" s="16">
        <v>332</v>
      </c>
      <c r="D48" s="16" t="s">
        <v>583</v>
      </c>
      <c r="E48" s="17">
        <v>1936.32</v>
      </c>
      <c r="F48" s="17">
        <v>1730.59</v>
      </c>
      <c r="G48" s="10" t="str">
        <f>VLOOKUP(Table11[[#This Row],[Store]],'Rates from Tracker'!A:B,2,0)</f>
        <v>Riverton</v>
      </c>
      <c r="H48" t="str">
        <f>VLOOKUP(D48,'Rates from Tracker'!A:C,3,0)</f>
        <v>SSR Holdings LLC</v>
      </c>
      <c r="I48" t="str">
        <f>VLOOKUP(Table11[[#This Row],[Franchisee]],'Rates from Tracker'!C:D,2,0)</f>
        <v>Bikram</v>
      </c>
      <c r="J48" s="10">
        <f>ROUND(IF(Table11[[#This Row],[Location]]="Belmont Market",Table11[[#This Row],[Column2]]*0.01,IF(Table11[[#This Row],[Location]]="Country Club Centre",Table11[[#This Row],[Column2]]*0.01,IF(Table11[[#This Row],[Location]]="Naval Air Station Norfolk",Table11[[#This Row],[Column2]]*0.005,F48*0.02))),2)</f>
        <v>34.61</v>
      </c>
      <c r="K4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8" s="11">
        <f t="shared" si="0"/>
        <v>17.309999999999999</v>
      </c>
      <c r="M48" s="10">
        <f t="shared" si="1"/>
        <v>51.92</v>
      </c>
    </row>
    <row r="49" spans="1:13" x14ac:dyDescent="0.25">
      <c r="A49" s="143" t="str">
        <f>IF(Table11[[#This Row],[Date]]=0,"",IF(Table11[[#This Row],[Date]]&lt;(Summary!$B$3-6),1,""))</f>
        <v/>
      </c>
      <c r="B49" s="127">
        <v>46271</v>
      </c>
      <c r="C49" s="16">
        <v>334</v>
      </c>
      <c r="D49" s="16" t="s">
        <v>577</v>
      </c>
      <c r="E49" s="17">
        <v>1534.17</v>
      </c>
      <c r="F49" s="17">
        <v>1402.07</v>
      </c>
      <c r="G49" s="10" t="str">
        <f>VLOOKUP(Table11[[#This Row],[Store]],'Rates from Tracker'!A:B,2,0)</f>
        <v>Layton</v>
      </c>
      <c r="H49" t="str">
        <f>VLOOKUP(D49,'Rates from Tracker'!A:C,3,0)</f>
        <v>SSR Holdings LLC</v>
      </c>
      <c r="I49" t="str">
        <f>VLOOKUP(Table11[[#This Row],[Franchisee]],'Rates from Tracker'!C:D,2,0)</f>
        <v>Bikram</v>
      </c>
      <c r="J49" s="10">
        <f>ROUND(IF(Table11[[#This Row],[Location]]="Belmont Market",Table11[[#This Row],[Column2]]*0.01,IF(Table11[[#This Row],[Location]]="Country Club Centre",Table11[[#This Row],[Column2]]*0.01,IF(Table11[[#This Row],[Location]]="Naval Air Station Norfolk",Table11[[#This Row],[Column2]]*0.005,F49*0.02))),2)</f>
        <v>28.04</v>
      </c>
      <c r="K4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9" s="11">
        <f t="shared" si="0"/>
        <v>14.02</v>
      </c>
      <c r="M49" s="10">
        <f t="shared" si="1"/>
        <v>42.06</v>
      </c>
    </row>
    <row r="50" spans="1:13" x14ac:dyDescent="0.25">
      <c r="A50" s="143" t="str">
        <f>IF(Table11[[#This Row],[Date]]=0,"",IF(Table11[[#This Row],[Date]]&lt;(Summary!$B$3-6),1,""))</f>
        <v/>
      </c>
      <c r="B50" s="127">
        <v>46271</v>
      </c>
      <c r="C50" s="16">
        <v>338</v>
      </c>
      <c r="D50" s="16" t="s">
        <v>310</v>
      </c>
      <c r="E50" s="17">
        <v>2573.6999999999998</v>
      </c>
      <c r="F50" s="17">
        <v>2311.4</v>
      </c>
      <c r="G50" s="10" t="str">
        <f>VLOOKUP(Table11[[#This Row],[Store]],'Rates from Tracker'!A:B,2,0)</f>
        <v>Augusta Exchange</v>
      </c>
      <c r="H50" t="str">
        <f>VLOOKUP(D50,'Rates from Tracker'!A:C,3,0)</f>
        <v>Rolling Dough LLC</v>
      </c>
      <c r="I50" t="str">
        <f>VLOOKUP(Table11[[#This Row],[Franchisee]],'Rates from Tracker'!C:D,2,0)</f>
        <v>Connolly</v>
      </c>
      <c r="J50" s="10">
        <f>ROUND(IF(Table11[[#This Row],[Location]]="Belmont Market",Table11[[#This Row],[Column2]]*0.01,IF(Table11[[#This Row],[Location]]="Country Club Centre",Table11[[#This Row],[Column2]]*0.01,IF(Table11[[#This Row],[Location]]="Naval Air Station Norfolk",Table11[[#This Row],[Column2]]*0.005,F50*0.02))),2)</f>
        <v>46.23</v>
      </c>
      <c r="K5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0" s="11">
        <f t="shared" si="0"/>
        <v>115.57</v>
      </c>
      <c r="M50" s="10">
        <f t="shared" si="1"/>
        <v>161.79999999999998</v>
      </c>
    </row>
    <row r="51" spans="1:13" x14ac:dyDescent="0.25">
      <c r="A51" s="143" t="str">
        <f>IF(Table11[[#This Row],[Date]]=0,"",IF(Table11[[#This Row],[Date]]&lt;(Summary!$B$3-6),1,""))</f>
        <v/>
      </c>
      <c r="B51" s="127">
        <v>46271</v>
      </c>
      <c r="C51" s="16">
        <v>348</v>
      </c>
      <c r="D51" s="16" t="s">
        <v>572</v>
      </c>
      <c r="E51" s="17">
        <v>5195.4799999999996</v>
      </c>
      <c r="F51" s="17">
        <v>4155.05</v>
      </c>
      <c r="G51" s="10" t="str">
        <f>VLOOKUP(Table11[[#This Row],[Store]],'Rates from Tracker'!A:B,2,0)</f>
        <v>Bend North</v>
      </c>
      <c r="H51" t="str">
        <f>VLOOKUP(D51,'Rates from Tracker'!A:C,3,0)</f>
        <v>SSR Holdings LLC</v>
      </c>
      <c r="I51" t="str">
        <f>VLOOKUP(Table11[[#This Row],[Franchisee]],'Rates from Tracker'!C:D,2,0)</f>
        <v>Bikram</v>
      </c>
      <c r="J51" s="10">
        <f>ROUND(IF(Table11[[#This Row],[Location]]="Belmont Market",Table11[[#This Row],[Column2]]*0.01,IF(Table11[[#This Row],[Location]]="Country Club Centre",Table11[[#This Row],[Column2]]*0.01,IF(Table11[[#This Row],[Location]]="Naval Air Station Norfolk",Table11[[#This Row],[Column2]]*0.005,F51*0.02))),2)</f>
        <v>83.1</v>
      </c>
      <c r="K5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1" s="11">
        <f t="shared" si="0"/>
        <v>41.55</v>
      </c>
      <c r="M51" s="10">
        <f t="shared" si="1"/>
        <v>124.64999999999999</v>
      </c>
    </row>
    <row r="52" spans="1:13" x14ac:dyDescent="0.25">
      <c r="A52" s="143" t="str">
        <f>IF(Table11[[#This Row],[Date]]=0,"",IF(Table11[[#This Row],[Date]]&lt;(Summary!$B$3-6),1,""))</f>
        <v/>
      </c>
      <c r="B52" s="127">
        <v>46271</v>
      </c>
      <c r="C52" s="16">
        <v>349</v>
      </c>
      <c r="D52" s="16" t="s">
        <v>588</v>
      </c>
      <c r="E52" s="17">
        <v>2726.9</v>
      </c>
      <c r="F52" s="17">
        <v>2612.4299999999998</v>
      </c>
      <c r="G52" s="10" t="str">
        <f>VLOOKUP(Table11[[#This Row],[Store]],'Rates from Tracker'!A:B,2,0)</f>
        <v>South Medford</v>
      </c>
      <c r="H52" t="str">
        <f>VLOOKUP(D52,'Rates from Tracker'!A:C,3,0)</f>
        <v>SSR Holdings LLC</v>
      </c>
      <c r="I52" t="str">
        <f>VLOOKUP(Table11[[#This Row],[Franchisee]],'Rates from Tracker'!C:D,2,0)</f>
        <v>Bikram</v>
      </c>
      <c r="J52" s="10">
        <f>ROUND(IF(Table11[[#This Row],[Location]]="Belmont Market",Table11[[#This Row],[Column2]]*0.01,IF(Table11[[#This Row],[Location]]="Country Club Centre",Table11[[#This Row],[Column2]]*0.01,IF(Table11[[#This Row],[Location]]="Naval Air Station Norfolk",Table11[[#This Row],[Column2]]*0.005,F52*0.02))),2)</f>
        <v>52.25</v>
      </c>
      <c r="K5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2" s="11">
        <f t="shared" si="0"/>
        <v>26.12</v>
      </c>
      <c r="M52" s="10">
        <f t="shared" si="1"/>
        <v>78.37</v>
      </c>
    </row>
    <row r="53" spans="1:13" x14ac:dyDescent="0.25">
      <c r="A53" s="143" t="str">
        <f>IF(Table11[[#This Row],[Date]]=0,"",IF(Table11[[#This Row],[Date]]&lt;(Summary!$B$3-6),1,""))</f>
        <v/>
      </c>
      <c r="B53" s="127">
        <v>46271</v>
      </c>
      <c r="C53" s="16">
        <v>352</v>
      </c>
      <c r="D53" s="16" t="s">
        <v>350</v>
      </c>
      <c r="E53" s="17">
        <v>1998.44</v>
      </c>
      <c r="F53" s="17">
        <v>1671.34</v>
      </c>
      <c r="G53" s="10" t="str">
        <f>VLOOKUP(Table11[[#This Row],[Store]],'Rates from Tracker'!A:B,2,0)</f>
        <v>Georgetown</v>
      </c>
      <c r="H53" t="str">
        <f>VLOOKUP(D53,'Rates from Tracker'!A:C,3,0)</f>
        <v>Cool Dough Development, LLC</v>
      </c>
      <c r="I53" t="str">
        <f>VLOOKUP(Table11[[#This Row],[Franchisee]],'Rates from Tracker'!C:D,2,0)</f>
        <v>Denning</v>
      </c>
      <c r="J53" s="10">
        <f>ROUND(IF(Table11[[#This Row],[Location]]="Belmont Market",Table11[[#This Row],[Column2]]*0.01,IF(Table11[[#This Row],[Location]]="Country Club Centre",Table11[[#This Row],[Column2]]*0.01,IF(Table11[[#This Row],[Location]]="Naval Air Station Norfolk",Table11[[#This Row],[Column2]]*0.005,F53*0.02))),2)</f>
        <v>33.43</v>
      </c>
      <c r="K5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3" s="11">
        <f t="shared" si="0"/>
        <v>83.57</v>
      </c>
      <c r="M53" s="10">
        <f t="shared" si="1"/>
        <v>117</v>
      </c>
    </row>
    <row r="54" spans="1:13" x14ac:dyDescent="0.25">
      <c r="A54" s="143" t="str">
        <f>IF(Table11[[#This Row],[Date]]=0,"",IF(Table11[[#This Row],[Date]]&lt;(Summary!$B$3-6),1,""))</f>
        <v/>
      </c>
      <c r="B54" s="127">
        <v>46271</v>
      </c>
      <c r="C54" s="16">
        <v>366</v>
      </c>
      <c r="D54" s="16" t="s">
        <v>585</v>
      </c>
      <c r="E54" s="17">
        <v>2312.89</v>
      </c>
      <c r="F54" s="17">
        <v>2107.64</v>
      </c>
      <c r="G54" s="10" t="str">
        <f>VLOOKUP(Table11[[#This Row],[Store]],'Rates from Tracker'!A:B,2,0)</f>
        <v>Saratoga Springs</v>
      </c>
      <c r="H54" t="str">
        <f>VLOOKUP(D54,'Rates from Tracker'!A:C,3,0)</f>
        <v>SSR Holdings LLC</v>
      </c>
      <c r="I54" t="str">
        <f>VLOOKUP(Table11[[#This Row],[Franchisee]],'Rates from Tracker'!C:D,2,0)</f>
        <v>Bikram</v>
      </c>
      <c r="J54" s="10">
        <f>ROUND(IF(Table11[[#This Row],[Location]]="Belmont Market",Table11[[#This Row],[Column2]]*0.01,IF(Table11[[#This Row],[Location]]="Country Club Centre",Table11[[#This Row],[Column2]]*0.01,IF(Table11[[#This Row],[Location]]="Naval Air Station Norfolk",Table11[[#This Row],[Column2]]*0.005,F54*0.02))),2)</f>
        <v>42.15</v>
      </c>
      <c r="K5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4" s="11">
        <f t="shared" si="0"/>
        <v>21.08</v>
      </c>
      <c r="M54" s="10">
        <f t="shared" si="1"/>
        <v>63.23</v>
      </c>
    </row>
    <row r="55" spans="1:13" x14ac:dyDescent="0.25">
      <c r="A55" s="143" t="str">
        <f>IF(Table11[[#This Row],[Date]]=0,"",IF(Table11[[#This Row],[Date]]&lt;(Summary!$B$3-6),1,""))</f>
        <v/>
      </c>
      <c r="B55" s="127">
        <v>46271</v>
      </c>
      <c r="C55" s="16">
        <v>384</v>
      </c>
      <c r="D55" s="16" t="s">
        <v>339</v>
      </c>
      <c r="E55" s="17">
        <v>3785.93</v>
      </c>
      <c r="F55" s="17">
        <v>3592.04</v>
      </c>
      <c r="G55" s="10" t="str">
        <f>VLOOKUP(Table11[[#This Row],[Store]],'Rates from Tracker'!A:B,2,0)</f>
        <v>Ralston Creek</v>
      </c>
      <c r="H55" t="str">
        <f>VLOOKUP(D55,'Rates from Tracker'!A:C,3,0)</f>
        <v>Best Pizza LLC</v>
      </c>
      <c r="I55" t="str">
        <f>VLOOKUP(Table11[[#This Row],[Franchisee]],'Rates from Tracker'!C:D,2,0)</f>
        <v>Merullo</v>
      </c>
      <c r="J55" s="10">
        <f>ROUND(IF(Table11[[#This Row],[Location]]="Belmont Market",Table11[[#This Row],[Column2]]*0.01,IF(Table11[[#This Row],[Location]]="Country Club Centre",Table11[[#This Row],[Column2]]*0.01,IF(Table11[[#This Row],[Location]]="Naval Air Station Norfolk",Table11[[#This Row],[Column2]]*0.005,F55*0.02))),2)</f>
        <v>71.84</v>
      </c>
      <c r="K5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5" s="11">
        <f t="shared" si="0"/>
        <v>179.6</v>
      </c>
      <c r="M55" s="10">
        <f t="shared" si="1"/>
        <v>251.44</v>
      </c>
    </row>
    <row r="56" spans="1:13" x14ac:dyDescent="0.25">
      <c r="A56" s="143" t="str">
        <f>IF(Table11[[#This Row],[Date]]=0,"",IF(Table11[[#This Row],[Date]]&lt;(Summary!$B$3-6),1,""))</f>
        <v/>
      </c>
      <c r="B56" s="127">
        <v>46271</v>
      </c>
      <c r="C56" s="16">
        <v>413</v>
      </c>
      <c r="D56" s="16" t="s">
        <v>322</v>
      </c>
      <c r="E56" s="17">
        <v>2229.0500000000002</v>
      </c>
      <c r="F56" s="17">
        <v>2075.44</v>
      </c>
      <c r="G56" s="10" t="str">
        <f>VLOOKUP(Table11[[#This Row],[Store]],'Rates from Tracker'!A:B,2,0)</f>
        <v>Madison</v>
      </c>
      <c r="H56" t="str">
        <f>VLOOKUP(D56,'Rates from Tracker'!A:C,3,0)</f>
        <v>APizza Delight Inc</v>
      </c>
      <c r="I56" t="str">
        <f>VLOOKUP(Table11[[#This Row],[Franchisee]],'Rates from Tracker'!C:D,2,0)</f>
        <v>Patel</v>
      </c>
      <c r="J56" s="10">
        <f>ROUND(IF(Table11[[#This Row],[Location]]="Belmont Market",Table11[[#This Row],[Column2]]*0.01,IF(Table11[[#This Row],[Location]]="Country Club Centre",Table11[[#This Row],[Column2]]*0.01,IF(Table11[[#This Row],[Location]]="Naval Air Station Norfolk",Table11[[#This Row],[Column2]]*0.005,F56*0.02))),2)</f>
        <v>41.51</v>
      </c>
      <c r="K5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6" s="11">
        <f t="shared" si="0"/>
        <v>20.75</v>
      </c>
      <c r="M56" s="10">
        <f t="shared" si="1"/>
        <v>62.26</v>
      </c>
    </row>
    <row r="57" spans="1:13" x14ac:dyDescent="0.25">
      <c r="A57" s="143" t="str">
        <f>IF(Table11[[#This Row],[Date]]=0,"",IF(Table11[[#This Row],[Date]]&lt;(Summary!$B$3-6),1,""))</f>
        <v/>
      </c>
      <c r="B57" s="127">
        <v>46271</v>
      </c>
      <c r="C57" s="16">
        <v>421</v>
      </c>
      <c r="D57" s="16" t="s">
        <v>575</v>
      </c>
      <c r="E57" s="17">
        <v>2182.4899999999998</v>
      </c>
      <c r="F57" s="17">
        <v>2039.57</v>
      </c>
      <c r="G57" s="10" t="str">
        <f>VLOOKUP(Table11[[#This Row],[Store]],'Rates from Tracker'!A:B,2,0)</f>
        <v>Fort Union</v>
      </c>
      <c r="H57" t="str">
        <f>VLOOKUP(D57,'Rates from Tracker'!A:C,3,0)</f>
        <v>SSR Holdings LLC</v>
      </c>
      <c r="I57" t="str">
        <f>VLOOKUP(Table11[[#This Row],[Franchisee]],'Rates from Tracker'!C:D,2,0)</f>
        <v>Bikram</v>
      </c>
      <c r="J57" s="10">
        <f>ROUND(IF(Table11[[#This Row],[Location]]="Belmont Market",Table11[[#This Row],[Column2]]*0.01,IF(Table11[[#This Row],[Location]]="Country Club Centre",Table11[[#This Row],[Column2]]*0.01,IF(Table11[[#This Row],[Location]]="Naval Air Station Norfolk",Table11[[#This Row],[Column2]]*0.005,F57*0.02))),2)</f>
        <v>40.79</v>
      </c>
      <c r="K5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7" s="11">
        <f t="shared" si="0"/>
        <v>20.399999999999999</v>
      </c>
      <c r="M57" s="10">
        <f t="shared" si="1"/>
        <v>61.19</v>
      </c>
    </row>
    <row r="58" spans="1:13" x14ac:dyDescent="0.25">
      <c r="A58" s="143" t="str">
        <f>IF(Table11[[#This Row],[Date]]=0,"",IF(Table11[[#This Row],[Date]]&lt;(Summary!$B$3-6),1,""))</f>
        <v/>
      </c>
      <c r="B58" s="127">
        <v>46271</v>
      </c>
      <c r="C58" s="16">
        <v>425</v>
      </c>
      <c r="D58" s="16" t="s">
        <v>381</v>
      </c>
      <c r="E58" s="17">
        <v>4121.71</v>
      </c>
      <c r="F58" s="17">
        <v>3753.72</v>
      </c>
      <c r="G58" s="10" t="str">
        <f>VLOOKUP(Table11[[#This Row],[Store]],'Rates from Tracker'!A:B,2,0)</f>
        <v>Crown Point</v>
      </c>
      <c r="H58" t="str">
        <f>VLOOKUP(D58,'Rates from Tracker'!A:C,3,0)</f>
        <v>Best Pizza LLC</v>
      </c>
      <c r="I58" t="str">
        <f>VLOOKUP(Table11[[#This Row],[Franchisee]],'Rates from Tracker'!C:D,2,0)</f>
        <v>Merullo</v>
      </c>
      <c r="J58" s="10">
        <f>ROUND(IF(Table11[[#This Row],[Location]]="Belmont Market",Table11[[#This Row],[Column2]]*0.01,IF(Table11[[#This Row],[Location]]="Country Club Centre",Table11[[#This Row],[Column2]]*0.01,IF(Table11[[#This Row],[Location]]="Naval Air Station Norfolk",Table11[[#This Row],[Column2]]*0.005,F58*0.02))),2)</f>
        <v>75.069999999999993</v>
      </c>
      <c r="K5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8" s="11">
        <f t="shared" si="0"/>
        <v>187.69</v>
      </c>
      <c r="M58" s="10">
        <f t="shared" si="1"/>
        <v>262.76</v>
      </c>
    </row>
    <row r="59" spans="1:13" x14ac:dyDescent="0.25">
      <c r="A59" s="143" t="str">
        <f>IF(Table11[[#This Row],[Date]]=0,"",IF(Table11[[#This Row],[Date]]&lt;(Summary!$B$3-6),1,""))</f>
        <v/>
      </c>
      <c r="B59" s="127">
        <v>46271</v>
      </c>
      <c r="C59" s="16">
        <v>429</v>
      </c>
      <c r="D59" s="16" t="s">
        <v>587</v>
      </c>
      <c r="E59" s="17">
        <v>2279.87</v>
      </c>
      <c r="F59" s="17">
        <v>2058.8000000000002</v>
      </c>
      <c r="G59" s="10" t="str">
        <f>VLOOKUP(Table11[[#This Row],[Store]],'Rates from Tracker'!A:B,2,0)</f>
        <v>South Jordan</v>
      </c>
      <c r="H59" t="str">
        <f>VLOOKUP(D59,'Rates from Tracker'!A:C,3,0)</f>
        <v>SSR Holdings LLC</v>
      </c>
      <c r="I59" t="str">
        <f>VLOOKUP(Table11[[#This Row],[Franchisee]],'Rates from Tracker'!C:D,2,0)</f>
        <v>Bikram</v>
      </c>
      <c r="J59" s="10">
        <f>ROUND(IF(Table11[[#This Row],[Location]]="Belmont Market",Table11[[#This Row],[Column2]]*0.01,IF(Table11[[#This Row],[Location]]="Country Club Centre",Table11[[#This Row],[Column2]]*0.01,IF(Table11[[#This Row],[Location]]="Naval Air Station Norfolk",Table11[[#This Row],[Column2]]*0.005,F59*0.02))),2)</f>
        <v>41.18</v>
      </c>
      <c r="K5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9" s="11">
        <f t="shared" si="0"/>
        <v>20.59</v>
      </c>
      <c r="M59" s="10">
        <f t="shared" si="1"/>
        <v>61.769999999999996</v>
      </c>
    </row>
    <row r="60" spans="1:13" x14ac:dyDescent="0.25">
      <c r="A60" s="143" t="str">
        <f>IF(Table11[[#This Row],[Date]]=0,"",IF(Table11[[#This Row],[Date]]&lt;(Summary!$B$3-6),1,""))</f>
        <v/>
      </c>
      <c r="B60" s="127">
        <v>46271</v>
      </c>
      <c r="C60" s="16">
        <v>433</v>
      </c>
      <c r="D60" s="16" t="s">
        <v>576</v>
      </c>
      <c r="E60" s="17">
        <v>3098.4</v>
      </c>
      <c r="F60" s="17">
        <v>2817.17</v>
      </c>
      <c r="G60" s="10" t="str">
        <f>VLOOKUP(Table11[[#This Row],[Store]],'Rates from Tracker'!A:B,2,0)</f>
        <v>Grants Pass</v>
      </c>
      <c r="H60" t="str">
        <f>VLOOKUP(D60,'Rates from Tracker'!A:C,3,0)</f>
        <v>SSR Holdings LLC</v>
      </c>
      <c r="I60" t="str">
        <f>VLOOKUP(Table11[[#This Row],[Franchisee]],'Rates from Tracker'!C:D,2,0)</f>
        <v>Bikram</v>
      </c>
      <c r="J60" s="10">
        <f>ROUND(IF(Table11[[#This Row],[Location]]="Belmont Market",Table11[[#This Row],[Column2]]*0.01,IF(Table11[[#This Row],[Location]]="Country Club Centre",Table11[[#This Row],[Column2]]*0.01,IF(Table11[[#This Row],[Location]]="Naval Air Station Norfolk",Table11[[#This Row],[Column2]]*0.005,F60*0.02))),2)</f>
        <v>56.34</v>
      </c>
      <c r="K6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60" s="11">
        <f t="shared" si="0"/>
        <v>28.17</v>
      </c>
      <c r="M60" s="10">
        <f t="shared" si="1"/>
        <v>84.51</v>
      </c>
    </row>
    <row r="61" spans="1:13" x14ac:dyDescent="0.25">
      <c r="A61" s="143" t="str">
        <f>IF(Table11[[#This Row],[Date]]=0,"",IF(Table11[[#This Row],[Date]]&lt;(Summary!$B$3-6),1,""))</f>
        <v/>
      </c>
      <c r="B61" s="127">
        <v>46271</v>
      </c>
      <c r="C61" s="16">
        <v>452</v>
      </c>
      <c r="D61" s="16" t="s">
        <v>346</v>
      </c>
      <c r="E61" s="17">
        <v>1247.31</v>
      </c>
      <c r="F61" s="17">
        <v>1203.3499999999999</v>
      </c>
      <c r="G61" s="10" t="str">
        <f>VLOOKUP(Table11[[#This Row],[Store]],'Rates from Tracker'!A:B,2,0)</f>
        <v>Mobile</v>
      </c>
      <c r="H61" t="str">
        <f>VLOOKUP(D61,'Rates from Tracker'!A:C,3,0)</f>
        <v>MAA MELDI 3980 Inc</v>
      </c>
      <c r="I61" t="str">
        <f>VLOOKUP(Table11[[#This Row],[Franchisee]],'Rates from Tracker'!C:D,2,0)</f>
        <v>Neal Patel</v>
      </c>
      <c r="J61" s="10">
        <f>ROUND(IF(Table11[[#This Row],[Location]]="Belmont Market",Table11[[#This Row],[Column2]]*0.01,IF(Table11[[#This Row],[Location]]="Country Club Centre",Table11[[#This Row],[Column2]]*0.01,IF(Table11[[#This Row],[Location]]="Naval Air Station Norfolk",Table11[[#This Row],[Column2]]*0.005,F61*0.02))),2)</f>
        <v>24.07</v>
      </c>
      <c r="K6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61" s="11">
        <f t="shared" si="0"/>
        <v>12.03</v>
      </c>
      <c r="M61" s="10">
        <f t="shared" si="1"/>
        <v>36.1</v>
      </c>
    </row>
    <row r="62" spans="1:13" x14ac:dyDescent="0.25">
      <c r="A62" s="143" t="str">
        <f>IF(Table11[[#This Row],[Date]]=0,"",IF(Table11[[#This Row],[Date]]&lt;(Summary!$B$3-6),1,""))</f>
        <v/>
      </c>
      <c r="B62" s="127">
        <v>46271</v>
      </c>
      <c r="C62" s="16">
        <v>478</v>
      </c>
      <c r="D62" s="16" t="s">
        <v>581</v>
      </c>
      <c r="E62" s="17">
        <v>1153.8399999999999</v>
      </c>
      <c r="F62" s="17">
        <v>1065.77</v>
      </c>
      <c r="G62" s="10" t="str">
        <f>VLOOKUP(Table11[[#This Row],[Store]],'Rates from Tracker'!A:B,2,0)</f>
        <v>Pocatello</v>
      </c>
      <c r="H62" t="str">
        <f>VLOOKUP(D62,'Rates from Tracker'!A:C,3,0)</f>
        <v>SSR Holdings LLC</v>
      </c>
      <c r="I62" t="str">
        <f>VLOOKUP(Table11[[#This Row],[Franchisee]],'Rates from Tracker'!C:D,2,0)</f>
        <v>Bikram</v>
      </c>
      <c r="J62" s="10">
        <f>ROUND(IF(Table11[[#This Row],[Location]]="Belmont Market",Table11[[#This Row],[Column2]]*0.01,IF(Table11[[#This Row],[Location]]="Country Club Centre",Table11[[#This Row],[Column2]]*0.01,IF(Table11[[#This Row],[Location]]="Naval Air Station Norfolk",Table11[[#This Row],[Column2]]*0.005,F62*0.02))),2)</f>
        <v>21.32</v>
      </c>
      <c r="K6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62" s="11">
        <f t="shared" si="0"/>
        <v>10.66</v>
      </c>
      <c r="M62" s="10">
        <f t="shared" si="1"/>
        <v>31.98</v>
      </c>
    </row>
    <row r="63" spans="1:13" x14ac:dyDescent="0.25">
      <c r="A63" s="143" t="str">
        <f>IF(Table11[[#This Row],[Date]]=0,"",IF(Table11[[#This Row],[Date]]&lt;(Summary!$B$3-6),1,""))</f>
        <v/>
      </c>
      <c r="B63" s="127">
        <v>46271</v>
      </c>
      <c r="C63" s="16">
        <v>514</v>
      </c>
      <c r="D63" s="16" t="s">
        <v>589</v>
      </c>
      <c r="E63" s="17">
        <v>1646.33</v>
      </c>
      <c r="F63" s="17">
        <v>1497.85</v>
      </c>
      <c r="G63" s="10" t="str">
        <f>VLOOKUP(Table11[[#This Row],[Store]],'Rates from Tracker'!A:B,2,0)</f>
        <v>Spanish Fork</v>
      </c>
      <c r="H63" t="str">
        <f>VLOOKUP(D63,'Rates from Tracker'!A:C,3,0)</f>
        <v>SSR Holdings LLC</v>
      </c>
      <c r="I63" t="str">
        <f>VLOOKUP(Table11[[#This Row],[Franchisee]],'Rates from Tracker'!C:D,2,0)</f>
        <v>Bikram</v>
      </c>
      <c r="J63" s="10">
        <f>ROUND(IF(Table11[[#This Row],[Location]]="Belmont Market",Table11[[#This Row],[Column2]]*0.01,IF(Table11[[#This Row],[Location]]="Country Club Centre",Table11[[#This Row],[Column2]]*0.01,IF(Table11[[#This Row],[Location]]="Naval Air Station Norfolk",Table11[[#This Row],[Column2]]*0.005,F63*0.02))),2)</f>
        <v>29.96</v>
      </c>
      <c r="K6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63" s="11">
        <f t="shared" si="0"/>
        <v>14.98</v>
      </c>
      <c r="M63" s="10">
        <f t="shared" si="1"/>
        <v>44.94</v>
      </c>
    </row>
    <row r="64" spans="1:13" x14ac:dyDescent="0.25">
      <c r="A64" s="143" t="str">
        <f>IF(Table11[[#This Row],[Date]]=0,"",IF(Table11[[#This Row],[Date]]&lt;(Summary!$B$3-6),1,""))</f>
        <v/>
      </c>
      <c r="B64" s="127">
        <v>46271</v>
      </c>
      <c r="C64" s="16">
        <v>515</v>
      </c>
      <c r="D64" s="16" t="s">
        <v>574</v>
      </c>
      <c r="E64" s="17">
        <v>2292.6799999999998</v>
      </c>
      <c r="F64" s="17">
        <v>2222.35</v>
      </c>
      <c r="G64" s="10" t="str">
        <f>VLOOKUP(Table11[[#This Row],[Store]],'Rates from Tracker'!A:B,2,0)</f>
        <v>Downtown Boise</v>
      </c>
      <c r="H64" t="str">
        <f>VLOOKUP(D64,'Rates from Tracker'!A:C,3,0)</f>
        <v>SSR Holdings LLC</v>
      </c>
      <c r="I64" t="str">
        <f>VLOOKUP(Table11[[#This Row],[Franchisee]],'Rates from Tracker'!C:D,2,0)</f>
        <v>Bikram</v>
      </c>
      <c r="J64" s="10">
        <f>ROUND(IF(Table11[[#This Row],[Location]]="Belmont Market",Table11[[#This Row],[Column2]]*0.01,IF(Table11[[#This Row],[Location]]="Country Club Centre",Table11[[#This Row],[Column2]]*0.01,IF(Table11[[#This Row],[Location]]="Naval Air Station Norfolk",Table11[[#This Row],[Column2]]*0.005,F64*0.02))),2)</f>
        <v>44.45</v>
      </c>
      <c r="K6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64" s="11">
        <f t="shared" si="0"/>
        <v>22.22</v>
      </c>
      <c r="M64" s="10">
        <f t="shared" si="1"/>
        <v>66.67</v>
      </c>
    </row>
    <row r="65" spans="1:13" x14ac:dyDescent="0.25">
      <c r="A65" s="143" t="str">
        <f>IF(Table11[[#This Row],[Date]]=0,"",IF(Table11[[#This Row],[Date]]&lt;(Summary!$B$3-6),1,""))</f>
        <v/>
      </c>
      <c r="B65" s="127">
        <v>46271</v>
      </c>
      <c r="C65" s="16">
        <v>521</v>
      </c>
      <c r="D65" s="16" t="s">
        <v>573</v>
      </c>
      <c r="E65" s="17">
        <v>2219.02</v>
      </c>
      <c r="F65" s="17">
        <v>2090.27</v>
      </c>
      <c r="G65" s="10" t="str">
        <f>VLOOKUP(Table11[[#This Row],[Store]],'Rates from Tracker'!A:B,2,0)</f>
        <v>Boise Town Square</v>
      </c>
      <c r="H65" t="str">
        <f>VLOOKUP(D65,'Rates from Tracker'!A:C,3,0)</f>
        <v>SSR Holdings LLC</v>
      </c>
      <c r="I65" t="str">
        <f>VLOOKUP(Table11[[#This Row],[Franchisee]],'Rates from Tracker'!C:D,2,0)</f>
        <v>Bikram</v>
      </c>
      <c r="J65" s="10">
        <f>ROUND(IF(Table11[[#This Row],[Location]]="Belmont Market",Table11[[#This Row],[Column2]]*0.01,IF(Table11[[#This Row],[Location]]="Country Club Centre",Table11[[#This Row],[Column2]]*0.01,IF(Table11[[#This Row],[Location]]="Naval Air Station Norfolk",Table11[[#This Row],[Column2]]*0.005,F65*0.02))),2)</f>
        <v>41.81</v>
      </c>
      <c r="K6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65" s="11">
        <f t="shared" si="0"/>
        <v>20.9</v>
      </c>
      <c r="M65" s="10">
        <f t="shared" si="1"/>
        <v>62.71</v>
      </c>
    </row>
    <row r="66" spans="1:13" x14ac:dyDescent="0.25">
      <c r="A66" s="143" t="str">
        <f>IF(Table11[[#This Row],[Date]]=0,"",IF(Table11[[#This Row],[Date]]&lt;(Summary!$B$3-6),1,""))</f>
        <v/>
      </c>
      <c r="B66" s="127">
        <v>46271</v>
      </c>
      <c r="C66" s="16">
        <v>586</v>
      </c>
      <c r="D66" s="16" t="s">
        <v>453</v>
      </c>
      <c r="E66" s="17">
        <v>6192.03</v>
      </c>
      <c r="F66" s="17">
        <v>5512.31</v>
      </c>
      <c r="G66" s="10" t="str">
        <f>VLOOKUP(Table11[[#This Row],[Store]],'Rates from Tracker'!A:B,2,0)</f>
        <v>Johnstown</v>
      </c>
      <c r="H66" t="str">
        <f>VLOOKUP(D66,'Rates from Tracker'!A:C,3,0)</f>
        <v>Best Pizza LLC</v>
      </c>
      <c r="I66" t="str">
        <f>VLOOKUP(Table11[[#This Row],[Franchisee]],'Rates from Tracker'!C:D,2,0)</f>
        <v>Merullo</v>
      </c>
      <c r="J66" s="10">
        <f>ROUND(IF(Table11[[#This Row],[Location]]="Belmont Market",Table11[[#This Row],[Column2]]*0.01,IF(Table11[[#This Row],[Location]]="Country Club Centre",Table11[[#This Row],[Column2]]*0.01,IF(Table11[[#This Row],[Location]]="Naval Air Station Norfolk",Table11[[#This Row],[Column2]]*0.005,F66*0.02))),2)</f>
        <v>110.25</v>
      </c>
      <c r="K6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66" s="11">
        <f t="shared" si="0"/>
        <v>275.62</v>
      </c>
      <c r="M66" s="10">
        <f t="shared" si="1"/>
        <v>385.87</v>
      </c>
    </row>
    <row r="67" spans="1:13" x14ac:dyDescent="0.25">
      <c r="A67" s="143" t="str">
        <f>IF(Table11[[#This Row],[Date]]=0,"",IF(Table11[[#This Row],[Date]]&lt;(Summary!$B$3-6),1,""))</f>
        <v/>
      </c>
      <c r="B67" s="127">
        <v>46271</v>
      </c>
      <c r="C67" s="16">
        <v>605</v>
      </c>
      <c r="D67" s="16" t="s">
        <v>501</v>
      </c>
      <c r="E67" s="17">
        <v>3631.59</v>
      </c>
      <c r="F67" s="17">
        <v>3180.69</v>
      </c>
      <c r="G67" s="10" t="str">
        <f>VLOOKUP(Table11[[#This Row],[Store]],'Rates from Tracker'!A:B,2,0)</f>
        <v>Campus Oaks</v>
      </c>
      <c r="H67" t="str">
        <f>VLOOKUP(D67,'Rates from Tracker'!A:C,3,0)</f>
        <v>Exceed Group Campus Oaks</v>
      </c>
      <c r="I67" t="str">
        <f>VLOOKUP(Table11[[#This Row],[Franchisee]],'Rates from Tracker'!C:D,2,0)</f>
        <v>Chawla</v>
      </c>
      <c r="J67" s="10">
        <f>ROUND(IF(Table11[[#This Row],[Location]]="Belmont Market",Table11[[#This Row],[Column2]]*0.01,IF(Table11[[#This Row],[Location]]="Country Club Centre",Table11[[#This Row],[Column2]]*0.01,IF(Table11[[#This Row],[Location]]="Naval Air Station Norfolk",Table11[[#This Row],[Column2]]*0.005,F67*0.02))),2)</f>
        <v>63.61</v>
      </c>
      <c r="K6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67" s="11">
        <f t="shared" si="0"/>
        <v>159.03</v>
      </c>
      <c r="M67" s="10">
        <f t="shared" si="1"/>
        <v>222.64</v>
      </c>
    </row>
    <row r="68" spans="1:13" x14ac:dyDescent="0.25">
      <c r="A68" s="143" t="str">
        <f>IF(Table11[[#This Row],[Date]]=0,"",IF(Table11[[#This Row],[Date]]&lt;(Summary!$B$3-6),1,""))</f>
        <v/>
      </c>
      <c r="B68" s="127">
        <v>46271</v>
      </c>
      <c r="C68" s="16">
        <v>607</v>
      </c>
      <c r="D68" s="16" t="s">
        <v>481</v>
      </c>
      <c r="E68" s="17">
        <v>4799.95</v>
      </c>
      <c r="F68" s="17">
        <v>4461.3100000000004</v>
      </c>
      <c r="G68" s="10" t="str">
        <f>VLOOKUP(Table11[[#This Row],[Store]],'Rates from Tracker'!A:B,2,0)</f>
        <v>Tower</v>
      </c>
      <c r="H68" t="str">
        <f>VLOOKUP(D68,'Rates from Tracker'!A:C,3,0)</f>
        <v>Best Pizza LLC</v>
      </c>
      <c r="I68" t="str">
        <f>VLOOKUP(Table11[[#This Row],[Franchisee]],'Rates from Tracker'!C:D,2,0)</f>
        <v>Merullo</v>
      </c>
      <c r="J68" s="10">
        <f>ROUND(IF(Table11[[#This Row],[Location]]="Belmont Market",Table11[[#This Row],[Column2]]*0.01,IF(Table11[[#This Row],[Location]]="Country Club Centre",Table11[[#This Row],[Column2]]*0.01,IF(Table11[[#This Row],[Location]]="Naval Air Station Norfolk",Table11[[#This Row],[Column2]]*0.005,F68*0.02))),2)</f>
        <v>89.23</v>
      </c>
      <c r="K6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68" s="11">
        <f t="shared" si="0"/>
        <v>223.07</v>
      </c>
      <c r="M68" s="10">
        <f t="shared" si="1"/>
        <v>312.3</v>
      </c>
    </row>
    <row r="69" spans="1:13" x14ac:dyDescent="0.25">
      <c r="A69" s="143" t="str">
        <f>IF(Table11[[#This Row],[Date]]=0,"",IF(Table11[[#This Row],[Date]]&lt;(Summary!$B$3-6),1,""))</f>
        <v/>
      </c>
      <c r="B69" s="127">
        <v>46271</v>
      </c>
      <c r="C69" s="16">
        <v>608</v>
      </c>
      <c r="D69" s="16" t="s">
        <v>488</v>
      </c>
      <c r="E69" s="17">
        <v>3359.66</v>
      </c>
      <c r="F69" s="17">
        <v>3076.5</v>
      </c>
      <c r="G69" s="10" t="str">
        <f>VLOOKUP(Table11[[#This Row],[Store]],'Rates from Tracker'!A:B,2,0)</f>
        <v>Sheridan Parkway</v>
      </c>
      <c r="H69" t="str">
        <f>VLOOKUP(D69,'Rates from Tracker'!A:C,3,0)</f>
        <v>Best Pizza LLC</v>
      </c>
      <c r="I69" t="str">
        <f>VLOOKUP(Table11[[#This Row],[Franchisee]],'Rates from Tracker'!C:D,2,0)</f>
        <v>Merullo</v>
      </c>
      <c r="J69" s="10">
        <f>ROUND(IF(Table11[[#This Row],[Location]]="Belmont Market",Table11[[#This Row],[Column2]]*0.01,IF(Table11[[#This Row],[Location]]="Country Club Centre",Table11[[#This Row],[Column2]]*0.01,IF(Table11[[#This Row],[Location]]="Naval Air Station Norfolk",Table11[[#This Row],[Column2]]*0.005,F69*0.02))),2)</f>
        <v>61.53</v>
      </c>
      <c r="K6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69" s="11">
        <f t="shared" ref="L69:L132" si="4">ROUND(F69*K69,2)</f>
        <v>153.83000000000001</v>
      </c>
      <c r="M69" s="10">
        <f t="shared" ref="M69:M132" si="5">J69+L69</f>
        <v>215.36</v>
      </c>
    </row>
    <row r="70" spans="1:13" x14ac:dyDescent="0.25">
      <c r="A70" s="143" t="str">
        <f>IF(Table11[[#This Row],[Date]]=0,"",IF(Table11[[#This Row],[Date]]&lt;(Summary!$B$3-6),1,""))</f>
        <v/>
      </c>
      <c r="B70" s="127">
        <v>46271</v>
      </c>
      <c r="C70" s="16">
        <v>616</v>
      </c>
      <c r="D70" s="16" t="s">
        <v>480</v>
      </c>
      <c r="E70" s="17">
        <v>3579.86</v>
      </c>
      <c r="F70" s="17">
        <v>3402.94</v>
      </c>
      <c r="G70" s="10" t="str">
        <f>VLOOKUP(Table11[[#This Row],[Store]],'Rates from Tracker'!A:B,2,0)</f>
        <v>Eureka</v>
      </c>
      <c r="H70" t="str">
        <f>VLOOKUP(D70,'Rates from Tracker'!A:C,3,0)</f>
        <v>Exceed Group Eureka</v>
      </c>
      <c r="I70" t="str">
        <f>VLOOKUP(Table11[[#This Row],[Franchisee]],'Rates from Tracker'!C:D,2,0)</f>
        <v>Chawla</v>
      </c>
      <c r="J70" s="10">
        <f>ROUND(IF(Table11[[#This Row],[Location]]="Belmont Market",Table11[[#This Row],[Column2]]*0.01,IF(Table11[[#This Row],[Location]]="Country Club Centre",Table11[[#This Row],[Column2]]*0.01,IF(Table11[[#This Row],[Location]]="Naval Air Station Norfolk",Table11[[#This Row],[Column2]]*0.005,F70*0.02))),2)</f>
        <v>68.06</v>
      </c>
      <c r="K7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70" s="11">
        <f t="shared" si="4"/>
        <v>170.15</v>
      </c>
      <c r="M70" s="10">
        <f t="shared" si="5"/>
        <v>238.21</v>
      </c>
    </row>
    <row r="71" spans="1:13" x14ac:dyDescent="0.25">
      <c r="A71" s="143" t="str">
        <f>IF(Table11[[#This Row],[Date]]=0,"",IF(Table11[[#This Row],[Date]]&lt;(Summary!$B$3-6),1,""))</f>
        <v/>
      </c>
      <c r="B71" s="127">
        <v>46271</v>
      </c>
      <c r="C71" s="16">
        <v>617</v>
      </c>
      <c r="D71" s="16" t="s">
        <v>494</v>
      </c>
      <c r="E71" s="17">
        <v>2423.42</v>
      </c>
      <c r="F71" s="17">
        <v>2265.9899999999998</v>
      </c>
      <c r="G71" s="10" t="str">
        <f>VLOOKUP(Table11[[#This Row],[Store]],'Rates from Tracker'!A:B,2,0)</f>
        <v>Lowry</v>
      </c>
      <c r="H71" t="str">
        <f>VLOOKUP(D71,'Rates from Tracker'!A:C,3,0)</f>
        <v>Best Pizza LLC</v>
      </c>
      <c r="I71" t="str">
        <f>VLOOKUP(Table11[[#This Row],[Franchisee]],'Rates from Tracker'!C:D,2,0)</f>
        <v>Merullo</v>
      </c>
      <c r="J71" s="10">
        <f>ROUND(IF(Table11[[#This Row],[Location]]="Belmont Market",Table11[[#This Row],[Column2]]*0.01,IF(Table11[[#This Row],[Location]]="Country Club Centre",Table11[[#This Row],[Column2]]*0.01,IF(Table11[[#This Row],[Location]]="Naval Air Station Norfolk",Table11[[#This Row],[Column2]]*0.005,F71*0.02))),2)</f>
        <v>45.32</v>
      </c>
      <c r="K7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71" s="11">
        <f t="shared" si="4"/>
        <v>113.3</v>
      </c>
      <c r="M71" s="10">
        <f t="shared" si="5"/>
        <v>158.62</v>
      </c>
    </row>
    <row r="72" spans="1:13" x14ac:dyDescent="0.25">
      <c r="A72" s="143" t="str">
        <f>IF(Table11[[#This Row],[Date]]=0,"",IF(Table11[[#This Row],[Date]]&lt;(Summary!$B$3-6),1,""))</f>
        <v/>
      </c>
      <c r="B72" s="127">
        <v>46271</v>
      </c>
      <c r="C72" s="16">
        <v>648</v>
      </c>
      <c r="D72" s="16" t="s">
        <v>454</v>
      </c>
      <c r="E72" s="17">
        <v>2906.1</v>
      </c>
      <c r="F72" s="17">
        <v>2650.31</v>
      </c>
      <c r="G72" s="10" t="str">
        <f>VLOOKUP(Table11[[#This Row],[Store]],'Rates from Tracker'!A:B,2,0)</f>
        <v>Belmont Market</v>
      </c>
      <c r="H72" t="str">
        <f>VLOOKUP(D72,'Rates from Tracker'!A:C,3,0)</f>
        <v>V.I. Pizza Belmont</v>
      </c>
      <c r="I72" t="str">
        <f>VLOOKUP(Table11[[#This Row],[Franchisee]],'Rates from Tracker'!C:D,2,0)</f>
        <v>Hayden</v>
      </c>
      <c r="J72" s="10">
        <f>ROUND(IF(Table11[[#This Row],[Location]]="Belmont Market",Table11[[#This Row],[Column2]]*0.01,IF(Table11[[#This Row],[Location]]="Country Club Centre",Table11[[#This Row],[Column2]]*0.01,IF(Table11[[#This Row],[Location]]="Naval Air Station Norfolk",Table11[[#This Row],[Column2]]*0.005,F72*0.02))),2)</f>
        <v>26.5</v>
      </c>
      <c r="K7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72" s="11">
        <f t="shared" si="4"/>
        <v>53.01</v>
      </c>
      <c r="M72" s="10">
        <f t="shared" si="5"/>
        <v>79.509999999999991</v>
      </c>
    </row>
    <row r="73" spans="1:13" x14ac:dyDescent="0.25">
      <c r="A73" s="143" t="str">
        <f>IF(Table11[[#This Row],[Date]]=0,"",IF(Table11[[#This Row],[Date]]&lt;(Summary!$B$3-6),1,""))</f>
        <v/>
      </c>
      <c r="B73" s="127">
        <v>46271</v>
      </c>
      <c r="C73" s="16">
        <v>659</v>
      </c>
      <c r="D73" s="16" t="s">
        <v>570</v>
      </c>
      <c r="E73" s="17">
        <v>1475.75</v>
      </c>
      <c r="F73" s="17">
        <v>1407.9</v>
      </c>
      <c r="G73" s="10" t="str">
        <f>VLOOKUP(Table11[[#This Row],[Store]],'Rates from Tracker'!A:B,2,0)</f>
        <v>Ammon</v>
      </c>
      <c r="H73" t="str">
        <f>VLOOKUP(D73,'Rates from Tracker'!A:C,3,0)</f>
        <v>SSR Holdings LLC</v>
      </c>
      <c r="I73" t="str">
        <f>VLOOKUP(Table11[[#This Row],[Franchisee]],'Rates from Tracker'!C:D,2,0)</f>
        <v>Bikram</v>
      </c>
      <c r="J73" s="10">
        <f>ROUND(IF(Table11[[#This Row],[Location]]="Belmont Market",Table11[[#This Row],[Column2]]*0.01,IF(Table11[[#This Row],[Location]]="Country Club Centre",Table11[[#This Row],[Column2]]*0.01,IF(Table11[[#This Row],[Location]]="Naval Air Station Norfolk",Table11[[#This Row],[Column2]]*0.005,F73*0.02))),2)</f>
        <v>28.16</v>
      </c>
      <c r="K7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73" s="11">
        <f t="shared" si="4"/>
        <v>14.08</v>
      </c>
      <c r="M73" s="10">
        <f t="shared" si="5"/>
        <v>42.24</v>
      </c>
    </row>
    <row r="74" spans="1:13" x14ac:dyDescent="0.25">
      <c r="A74" s="143" t="str">
        <f>IF(Table11[[#This Row],[Date]]=0,"",IF(Table11[[#This Row],[Date]]&lt;(Summary!$B$3-6),1,""))</f>
        <v/>
      </c>
      <c r="B74" s="127">
        <v>46271</v>
      </c>
      <c r="C74" s="16">
        <v>699</v>
      </c>
      <c r="D74" s="16" t="s">
        <v>521</v>
      </c>
      <c r="E74" s="17">
        <v>2738.95</v>
      </c>
      <c r="F74" s="17">
        <v>2562.1999999999998</v>
      </c>
      <c r="G74" s="10" t="str">
        <f>VLOOKUP(Table11[[#This Row],[Store]],'Rates from Tracker'!A:B,2,0)</f>
        <v>Grand Junction</v>
      </c>
      <c r="H74" t="str">
        <f>VLOOKUP(D74,'Rates from Tracker'!A:C,3,0)</f>
        <v>Best Pizza LLC</v>
      </c>
      <c r="I74" t="str">
        <f>VLOOKUP(Table11[[#This Row],[Franchisee]],'Rates from Tracker'!C:D,2,0)</f>
        <v>Merullo</v>
      </c>
      <c r="J74" s="10">
        <f>ROUND(IF(Table11[[#This Row],[Location]]="Belmont Market",Table11[[#This Row],[Column2]]*0.01,IF(Table11[[#This Row],[Location]]="Country Club Centre",Table11[[#This Row],[Column2]]*0.01,IF(Table11[[#This Row],[Location]]="Naval Air Station Norfolk",Table11[[#This Row],[Column2]]*0.005,F74*0.02))),2)</f>
        <v>51.24</v>
      </c>
      <c r="K7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74" s="11">
        <f t="shared" si="4"/>
        <v>128.11000000000001</v>
      </c>
      <c r="M74" s="10">
        <f t="shared" si="5"/>
        <v>179.35000000000002</v>
      </c>
    </row>
    <row r="75" spans="1:13" x14ac:dyDescent="0.25">
      <c r="A75" s="143" t="str">
        <f>IF(Table11[[#This Row],[Date]]=0,"",IF(Table11[[#This Row],[Date]]&lt;(Summary!$B$3-6),1,""))</f>
        <v/>
      </c>
      <c r="B75" s="127">
        <v>46271</v>
      </c>
      <c r="C75" s="16">
        <v>711</v>
      </c>
      <c r="D75" s="16" t="s">
        <v>526</v>
      </c>
      <c r="E75" s="17">
        <v>978.23</v>
      </c>
      <c r="F75" s="17">
        <v>956.54</v>
      </c>
      <c r="G75" s="10" t="str">
        <f>VLOOKUP(Table11[[#This Row],[Store]],'Rates from Tracker'!A:B,2,0)</f>
        <v>Country Club Centre</v>
      </c>
      <c r="H75" t="str">
        <f>VLOOKUP(D75,'Rates from Tracker'!A:C,3,0)</f>
        <v>V.I. Pizza Country Club</v>
      </c>
      <c r="I75" t="str">
        <f>VLOOKUP(Table11[[#This Row],[Franchisee]],'Rates from Tracker'!C:D,2,0)</f>
        <v>Hayden</v>
      </c>
      <c r="J75" s="10">
        <f>ROUND(IF(Table11[[#This Row],[Location]]="Belmont Market",Table11[[#This Row],[Column2]]*0.01,IF(Table11[[#This Row],[Location]]="Country Club Centre",Table11[[#This Row],[Column2]]*0.01,IF(Table11[[#This Row],[Location]]="Naval Air Station Norfolk",Table11[[#This Row],[Column2]]*0.005,F75*0.02))),2)</f>
        <v>9.57</v>
      </c>
      <c r="K7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75" s="11">
        <f t="shared" si="4"/>
        <v>9.57</v>
      </c>
      <c r="M75" s="10">
        <f t="shared" si="5"/>
        <v>19.14</v>
      </c>
    </row>
    <row r="76" spans="1:13" x14ac:dyDescent="0.25">
      <c r="A76" s="143" t="str">
        <f>IF(Table11[[#This Row],[Date]]=0,"",IF(Table11[[#This Row],[Date]]&lt;(Summary!$B$3-6),1,""))</f>
        <v/>
      </c>
      <c r="B76" s="127">
        <v>46271</v>
      </c>
      <c r="C76" s="16">
        <v>722</v>
      </c>
      <c r="D76" s="16" t="s">
        <v>535</v>
      </c>
      <c r="E76" s="17">
        <v>3381.16</v>
      </c>
      <c r="F76" s="17">
        <v>3052.17</v>
      </c>
      <c r="G76" s="10" t="str">
        <f>VLOOKUP(Table11[[#This Row],[Store]],'Rates from Tracker'!A:B,2,0)</f>
        <v>Creekwalk</v>
      </c>
      <c r="H76" t="str">
        <f>VLOOKUP(D76,'Rates from Tracker'!A:C,3,0)</f>
        <v>Best Pizza LLC</v>
      </c>
      <c r="I76" t="str">
        <f>VLOOKUP(Table11[[#This Row],[Franchisee]],'Rates from Tracker'!C:D,2,0)</f>
        <v>Merullo</v>
      </c>
      <c r="J76" s="10">
        <f>ROUND(IF(Table11[[#This Row],[Location]]="Belmont Market",Table11[[#This Row],[Column2]]*0.01,IF(Table11[[#This Row],[Location]]="Country Club Centre",Table11[[#This Row],[Column2]]*0.01,IF(Table11[[#This Row],[Location]]="Naval Air Station Norfolk",Table11[[#This Row],[Column2]]*0.005,F76*0.02))),2)</f>
        <v>61.04</v>
      </c>
      <c r="K7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76" s="11">
        <f t="shared" si="4"/>
        <v>61.04</v>
      </c>
      <c r="M76" s="10">
        <f t="shared" si="5"/>
        <v>122.08</v>
      </c>
    </row>
    <row r="77" spans="1:13" x14ac:dyDescent="0.25">
      <c r="A77" s="143" t="str">
        <f>IF(Table11[[#This Row],[Date]]=0,"",IF(Table11[[#This Row],[Date]]&lt;(Summary!$B$3-6),1,""))</f>
        <v/>
      </c>
      <c r="B77" s="127">
        <v>46271</v>
      </c>
      <c r="C77" s="16">
        <v>731</v>
      </c>
      <c r="D77" s="16" t="s">
        <v>542</v>
      </c>
      <c r="E77" s="17">
        <v>1066.1300000000001</v>
      </c>
      <c r="F77" s="17">
        <v>1066.1300000000001</v>
      </c>
      <c r="G77" s="10" t="str">
        <f>VLOOKUP(Table11[[#This Row],[Store]],'Rates from Tracker'!A:B,2,0)</f>
        <v>Naval Air Station Norfolk</v>
      </c>
      <c r="H77" t="str">
        <f>VLOOKUP(D77,'Rates from Tracker'!A:C,3,0)</f>
        <v>IDAD-5 Inc</v>
      </c>
      <c r="I77" t="str">
        <f>VLOOKUP(Table11[[#This Row],[Franchisee]],'Rates from Tracker'!C:D,2,0)</f>
        <v>Ingenito</v>
      </c>
      <c r="J77" s="10">
        <f>ROUND(IF(Table11[[#This Row],[Location]]="Belmont Market",Table11[[#This Row],[Column2]]*0.01,IF(Table11[[#This Row],[Location]]="Country Club Centre",Table11[[#This Row],[Column2]]*0.01,IF(Table11[[#This Row],[Location]]="Naval Air Station Norfolk",Table11[[#This Row],[Column2]]*0.005,F77*0.02))),2)</f>
        <v>5.33</v>
      </c>
      <c r="K7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77" s="11">
        <f t="shared" si="4"/>
        <v>21.32</v>
      </c>
      <c r="M77" s="10">
        <f t="shared" si="5"/>
        <v>26.65</v>
      </c>
    </row>
    <row r="78" spans="1:13" x14ac:dyDescent="0.25">
      <c r="A78" s="143" t="str">
        <f>IF(Table11[[#This Row],[Date]]=0,"",IF(Table11[[#This Row],[Date]]&lt;(Summary!$B$3-6),1,""))</f>
        <v/>
      </c>
      <c r="B78" s="127">
        <v>46271</v>
      </c>
      <c r="C78" s="16">
        <v>761</v>
      </c>
      <c r="D78" s="16" t="s">
        <v>584</v>
      </c>
      <c r="E78" s="17">
        <v>1795.87</v>
      </c>
      <c r="F78" s="17">
        <v>1716.43</v>
      </c>
      <c r="G78" s="10" t="str">
        <f>VLOOKUP(Table11[[#This Row],[Store]],'Rates from Tracker'!A:B,2,0)</f>
        <v>Roseburg</v>
      </c>
      <c r="H78" t="str">
        <f>VLOOKUP(D78,'Rates from Tracker'!A:C,3,0)</f>
        <v>SSR Holdings LLC</v>
      </c>
      <c r="I78" t="str">
        <f>VLOOKUP(Table11[[#This Row],[Franchisee]],'Rates from Tracker'!C:D,2,0)</f>
        <v>Bikram</v>
      </c>
      <c r="J78" s="10">
        <f>ROUND(IF(Table11[[#This Row],[Location]]="Belmont Market",Table11[[#This Row],[Column2]]*0.01,IF(Table11[[#This Row],[Location]]="Country Club Centre",Table11[[#This Row],[Column2]]*0.01,IF(Table11[[#This Row],[Location]]="Naval Air Station Norfolk",Table11[[#This Row],[Column2]]*0.005,F78*0.02))),2)</f>
        <v>34.33</v>
      </c>
      <c r="K7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78" s="11">
        <f t="shared" si="4"/>
        <v>17.16</v>
      </c>
      <c r="M78" s="10">
        <f t="shared" si="5"/>
        <v>51.489999999999995</v>
      </c>
    </row>
    <row r="79" spans="1:13" x14ac:dyDescent="0.25">
      <c r="A79" s="143" t="str">
        <f>IF(Table11[[#This Row],[Date]]=0,"",IF(Table11[[#This Row],[Date]]&lt;(Summary!$B$3-6),1,""))</f>
        <v/>
      </c>
      <c r="B79" s="127">
        <v>46271</v>
      </c>
      <c r="C79" s="16">
        <v>777</v>
      </c>
      <c r="D79" s="16" t="s">
        <v>590</v>
      </c>
      <c r="E79" s="17">
        <v>2095.15</v>
      </c>
      <c r="F79" s="17">
        <v>1891.46</v>
      </c>
      <c r="G79" s="10" t="str">
        <f>VLOOKUP(Table11[[#This Row],[Store]],'Rates from Tracker'!A:B,2,0)</f>
        <v>Springfield-Oregon</v>
      </c>
      <c r="H79" t="str">
        <f>VLOOKUP(D79,'Rates from Tracker'!A:C,3,0)</f>
        <v>SSR Holdings LLC</v>
      </c>
      <c r="I79" t="str">
        <f>VLOOKUP(Table11[[#This Row],[Franchisee]],'Rates from Tracker'!C:D,2,0)</f>
        <v>Bikram</v>
      </c>
      <c r="J79" s="10">
        <f>ROUND(IF(Table11[[#This Row],[Location]]="Belmont Market",Table11[[#This Row],[Column2]]*0.01,IF(Table11[[#This Row],[Location]]="Country Club Centre",Table11[[#This Row],[Column2]]*0.01,IF(Table11[[#This Row],[Location]]="Naval Air Station Norfolk",Table11[[#This Row],[Column2]]*0.005,F79*0.02))),2)</f>
        <v>37.83</v>
      </c>
      <c r="K7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79" s="11">
        <f t="shared" si="4"/>
        <v>18.91</v>
      </c>
      <c r="M79" s="10">
        <f t="shared" si="5"/>
        <v>56.739999999999995</v>
      </c>
    </row>
    <row r="80" spans="1:13" x14ac:dyDescent="0.25">
      <c r="A80" s="143" t="str">
        <f>IF(Table11[[#This Row],[Date]]=0,"",IF(Table11[[#This Row],[Date]]&lt;(Summary!$B$3-6),1,""))</f>
        <v/>
      </c>
      <c r="B80" s="127">
        <v>46271</v>
      </c>
      <c r="C80" s="16">
        <v>820</v>
      </c>
      <c r="D80" s="16" t="s">
        <v>538</v>
      </c>
      <c r="E80" s="17">
        <v>3881.46</v>
      </c>
      <c r="F80" s="17">
        <v>3579.19</v>
      </c>
      <c r="G80" s="10" t="str">
        <f>VLOOKUP(Table11[[#This Row],[Store]],'Rates from Tracker'!A:B,2,0)</f>
        <v>Churn Creek</v>
      </c>
      <c r="H80" t="str">
        <f>VLOOKUP(D80,'Rates from Tracker'!A:C,3,0)</f>
        <v>Exceed Group Churn Creek</v>
      </c>
      <c r="I80" t="str">
        <f>VLOOKUP(Table11[[#This Row],[Franchisee]],'Rates from Tracker'!C:D,2,0)</f>
        <v>Chawla</v>
      </c>
      <c r="J80" s="10">
        <f>ROUND(IF(Table11[[#This Row],[Location]]="Belmont Market",Table11[[#This Row],[Column2]]*0.01,IF(Table11[[#This Row],[Location]]="Country Club Centre",Table11[[#This Row],[Column2]]*0.01,IF(Table11[[#This Row],[Location]]="Naval Air Station Norfolk",Table11[[#This Row],[Column2]]*0.005,F80*0.02))),2)</f>
        <v>71.58</v>
      </c>
      <c r="K8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80" s="11">
        <f t="shared" si="4"/>
        <v>178.96</v>
      </c>
      <c r="M80" s="10">
        <f t="shared" si="5"/>
        <v>250.54000000000002</v>
      </c>
    </row>
    <row r="81" spans="1:13" x14ac:dyDescent="0.25">
      <c r="A81" s="143" t="str">
        <f>IF(Table11[[#This Row],[Date]]=0,"",IF(Table11[[#This Row],[Date]]&lt;(Summary!$B$3-6),1,""))</f>
        <v/>
      </c>
      <c r="B81" s="127">
        <v>46270</v>
      </c>
      <c r="C81" s="16">
        <v>21</v>
      </c>
      <c r="D81" s="16" t="s">
        <v>29</v>
      </c>
      <c r="E81" s="17">
        <v>3882.04</v>
      </c>
      <c r="F81" s="17">
        <v>3818.11</v>
      </c>
      <c r="G81" s="10" t="str">
        <f>VLOOKUP(Table11[[#This Row],[Store]],'Rates from Tracker'!A:B,2,0)</f>
        <v>Park Meadows</v>
      </c>
      <c r="H81" t="str">
        <f>VLOOKUP(D81,'Rates from Tracker'!A:C,3,0)</f>
        <v>Best Pizza LLC</v>
      </c>
      <c r="I81" t="str">
        <f>VLOOKUP(Table11[[#This Row],[Franchisee]],'Rates from Tracker'!C:D,2,0)</f>
        <v>Merullo</v>
      </c>
      <c r="J81" s="10">
        <f>ROUND(IF(Table11[[#This Row],[Location]]="Belmont Market",Table11[[#This Row],[Column2]]*0.01,IF(Table11[[#This Row],[Location]]="Country Club Centre",Table11[[#This Row],[Column2]]*0.01,IF(Table11[[#This Row],[Location]]="Naval Air Station Norfolk",Table11[[#This Row],[Column2]]*0.005,F81*0.02))),2)</f>
        <v>76.36</v>
      </c>
      <c r="K8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81" s="11">
        <f t="shared" si="4"/>
        <v>190.91</v>
      </c>
      <c r="M81" s="10">
        <f t="shared" si="5"/>
        <v>267.27</v>
      </c>
    </row>
    <row r="82" spans="1:13" x14ac:dyDescent="0.25">
      <c r="A82" s="143" t="str">
        <f>IF(Table11[[#This Row],[Date]]=0,"",IF(Table11[[#This Row],[Date]]&lt;(Summary!$B$3-6),1,""))</f>
        <v/>
      </c>
      <c r="B82" s="127">
        <v>46270</v>
      </c>
      <c r="C82" s="16">
        <v>47</v>
      </c>
      <c r="D82" s="16" t="s">
        <v>532</v>
      </c>
      <c r="E82" s="17">
        <v>5250.18</v>
      </c>
      <c r="F82" s="17">
        <v>5070.3900000000003</v>
      </c>
      <c r="G82" s="10" t="str">
        <f>VLOOKUP(Table11[[#This Row],[Store]],'Rates from Tracker'!A:B,2,0)</f>
        <v>REDDING</v>
      </c>
      <c r="H82" t="str">
        <f>VLOOKUP(D82,'Rates from Tracker'!A:C,3,0)</f>
        <v>Exceed Group REDDING</v>
      </c>
      <c r="I82" t="str">
        <f>VLOOKUP(Table11[[#This Row],[Franchisee]],'Rates from Tracker'!C:D,2,0)</f>
        <v>Chawla</v>
      </c>
      <c r="J82" s="10">
        <f>ROUND(IF(Table11[[#This Row],[Location]]="Belmont Market",Table11[[#This Row],[Column2]]*0.01,IF(Table11[[#This Row],[Location]]="Country Club Centre",Table11[[#This Row],[Column2]]*0.01,IF(Table11[[#This Row],[Location]]="Naval Air Station Norfolk",Table11[[#This Row],[Column2]]*0.005,F82*0.02))),2)</f>
        <v>101.41</v>
      </c>
      <c r="K8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82" s="11">
        <f t="shared" si="4"/>
        <v>253.52</v>
      </c>
      <c r="M82" s="10">
        <f t="shared" si="5"/>
        <v>354.93</v>
      </c>
    </row>
    <row r="83" spans="1:13" x14ac:dyDescent="0.25">
      <c r="A83" s="143" t="str">
        <f>IF(Table11[[#This Row],[Date]]=0,"",IF(Table11[[#This Row],[Date]]&lt;(Summary!$B$3-6),1,""))</f>
        <v/>
      </c>
      <c r="B83" s="127">
        <v>46270</v>
      </c>
      <c r="C83" s="16">
        <v>55</v>
      </c>
      <c r="D83" s="16" t="s">
        <v>533</v>
      </c>
      <c r="E83" s="17">
        <v>2852.78</v>
      </c>
      <c r="F83" s="17">
        <v>2803.11</v>
      </c>
      <c r="G83" s="10" t="str">
        <f>VLOOKUP(Table11[[#This Row],[Store]],'Rates from Tracker'!A:B,2,0)</f>
        <v>ROCKLIN</v>
      </c>
      <c r="H83" t="str">
        <f>VLOOKUP(D83,'Rates from Tracker'!A:C,3,0)</f>
        <v>Exceed Group ROCKLIN</v>
      </c>
      <c r="I83" t="str">
        <f>VLOOKUP(Table11[[#This Row],[Franchisee]],'Rates from Tracker'!C:D,2,0)</f>
        <v>Chawla</v>
      </c>
      <c r="J83" s="10">
        <f>ROUND(IF(Table11[[#This Row],[Location]]="Belmont Market",Table11[[#This Row],[Column2]]*0.01,IF(Table11[[#This Row],[Location]]="Country Club Centre",Table11[[#This Row],[Column2]]*0.01,IF(Table11[[#This Row],[Location]]="Naval Air Station Norfolk",Table11[[#This Row],[Column2]]*0.005,F83*0.02))),2)</f>
        <v>56.06</v>
      </c>
      <c r="K8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83" s="11">
        <f t="shared" si="4"/>
        <v>140.16</v>
      </c>
      <c r="M83" s="10">
        <f t="shared" si="5"/>
        <v>196.22</v>
      </c>
    </row>
    <row r="84" spans="1:13" x14ac:dyDescent="0.25">
      <c r="A84" s="143" t="str">
        <f>IF(Table11[[#This Row],[Date]]=0,"",IF(Table11[[#This Row],[Date]]&lt;(Summary!$B$3-6),1,""))</f>
        <v/>
      </c>
      <c r="B84" s="127">
        <v>46270</v>
      </c>
      <c r="C84" s="16">
        <v>56</v>
      </c>
      <c r="D84" s="16" t="s">
        <v>534</v>
      </c>
      <c r="E84" s="17">
        <v>3261.01</v>
      </c>
      <c r="F84" s="17">
        <v>3188.38</v>
      </c>
      <c r="G84" s="10" t="str">
        <f>VLOOKUP(Table11[[#This Row],[Store]],'Rates from Tracker'!A:B,2,0)</f>
        <v>LIVONIA</v>
      </c>
      <c r="H84" t="str">
        <f>VLOOKUP(D84,'Rates from Tracker'!A:C,3,0)</f>
        <v>TSFR Pizza LLC</v>
      </c>
      <c r="I84" t="str">
        <f>VLOOKUP(Table11[[#This Row],[Franchisee]],'Rates from Tracker'!C:D,2,0)</f>
        <v>Schostak</v>
      </c>
      <c r="J84" s="10">
        <f>ROUND(IF(Table11[[#This Row],[Location]]="Belmont Market",Table11[[#This Row],[Column2]]*0.01,IF(Table11[[#This Row],[Location]]="Country Club Centre",Table11[[#This Row],[Column2]]*0.01,IF(Table11[[#This Row],[Location]]="Naval Air Station Norfolk",Table11[[#This Row],[Column2]]*0.005,F84*0.02))),2)</f>
        <v>63.77</v>
      </c>
      <c r="K8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84" s="11">
        <f t="shared" si="4"/>
        <v>159.41999999999999</v>
      </c>
      <c r="M84" s="10">
        <f t="shared" si="5"/>
        <v>223.19</v>
      </c>
    </row>
    <row r="85" spans="1:13" x14ac:dyDescent="0.25">
      <c r="A85" s="143" t="str">
        <f>IF(Table11[[#This Row],[Date]]=0,"",IF(Table11[[#This Row],[Date]]&lt;(Summary!$B$3-6),1,""))</f>
        <v/>
      </c>
      <c r="B85" s="127">
        <v>46270</v>
      </c>
      <c r="C85" s="16">
        <v>77</v>
      </c>
      <c r="D85" s="16" t="s">
        <v>11</v>
      </c>
      <c r="E85" s="17">
        <v>2388.64</v>
      </c>
      <c r="F85" s="17">
        <v>2360.86</v>
      </c>
      <c r="G85" s="10" t="str">
        <f>VLOOKUP(Table11[[#This Row],[Store]],'Rates from Tracker'!A:B,2,0)</f>
        <v>Falcon Landing</v>
      </c>
      <c r="H85" t="str">
        <f>VLOOKUP(D85,'Rates from Tracker'!A:C,3,0)</f>
        <v>Best Pizza LLC</v>
      </c>
      <c r="I85" t="str">
        <f>VLOOKUP(Table11[[#This Row],[Franchisee]],'Rates from Tracker'!C:D,2,0)</f>
        <v>Merullo</v>
      </c>
      <c r="J85" s="10">
        <f>ROUND(IF(Table11[[#This Row],[Location]]="Belmont Market",Table11[[#This Row],[Column2]]*0.01,IF(Table11[[#This Row],[Location]]="Country Club Centre",Table11[[#This Row],[Column2]]*0.01,IF(Table11[[#This Row],[Location]]="Naval Air Station Norfolk",Table11[[#This Row],[Column2]]*0.005,F85*0.02))),2)</f>
        <v>47.22</v>
      </c>
      <c r="K8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85" s="11">
        <f t="shared" si="4"/>
        <v>118.04</v>
      </c>
      <c r="M85" s="10">
        <f t="shared" si="5"/>
        <v>165.26</v>
      </c>
    </row>
    <row r="86" spans="1:13" x14ac:dyDescent="0.25">
      <c r="A86" s="143" t="str">
        <f>IF(Table11[[#This Row],[Date]]=0,"",IF(Table11[[#This Row],[Date]]&lt;(Summary!$B$3-6),1,""))</f>
        <v/>
      </c>
      <c r="B86" s="127">
        <v>46270</v>
      </c>
      <c r="C86" s="16">
        <v>93</v>
      </c>
      <c r="D86" s="16" t="s">
        <v>5</v>
      </c>
      <c r="E86" s="17">
        <v>3417.19</v>
      </c>
      <c r="F86" s="17">
        <v>3320.05</v>
      </c>
      <c r="G86" s="10" t="str">
        <f>VLOOKUP(Table11[[#This Row],[Store]],'Rates from Tracker'!A:B,2,0)</f>
        <v>Brighton</v>
      </c>
      <c r="H86" t="str">
        <f>VLOOKUP(D86,'Rates from Tracker'!A:C,3,0)</f>
        <v>TSFR Pizza LLC</v>
      </c>
      <c r="I86" t="str">
        <f>VLOOKUP(Table11[[#This Row],[Franchisee]],'Rates from Tracker'!C:D,2,0)</f>
        <v>Schostak</v>
      </c>
      <c r="J86" s="10">
        <f>ROUND(IF(Table11[[#This Row],[Location]]="Belmont Market",Table11[[#This Row],[Column2]]*0.01,IF(Table11[[#This Row],[Location]]="Country Club Centre",Table11[[#This Row],[Column2]]*0.01,IF(Table11[[#This Row],[Location]]="Naval Air Station Norfolk",Table11[[#This Row],[Column2]]*0.005,F86*0.02))),2)</f>
        <v>66.400000000000006</v>
      </c>
      <c r="K8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86" s="11">
        <f t="shared" si="4"/>
        <v>166</v>
      </c>
      <c r="M86" s="10">
        <f t="shared" si="5"/>
        <v>232.4</v>
      </c>
    </row>
    <row r="87" spans="1:13" x14ac:dyDescent="0.25">
      <c r="A87" s="143" t="str">
        <f>IF(Table11[[#This Row],[Date]]=0,"",IF(Table11[[#This Row],[Date]]&lt;(Summary!$B$3-6),1,""))</f>
        <v/>
      </c>
      <c r="B87" s="127">
        <v>46270</v>
      </c>
      <c r="C87" s="16">
        <v>94</v>
      </c>
      <c r="D87" s="16" t="s">
        <v>7</v>
      </c>
      <c r="E87" s="17">
        <v>5339.44</v>
      </c>
      <c r="F87" s="17">
        <v>5297.89</v>
      </c>
      <c r="G87" s="10" t="str">
        <f>VLOOKUP(Table11[[#This Row],[Store]],'Rates from Tracker'!A:B,2,0)</f>
        <v>Castle Rock</v>
      </c>
      <c r="H87" t="str">
        <f>VLOOKUP(D87,'Rates from Tracker'!A:C,3,0)</f>
        <v>Best Pizza LLC</v>
      </c>
      <c r="I87" t="str">
        <f>VLOOKUP(Table11[[#This Row],[Franchisee]],'Rates from Tracker'!C:D,2,0)</f>
        <v>Merullo</v>
      </c>
      <c r="J87" s="10">
        <f>ROUND(IF(Table11[[#This Row],[Location]]="Belmont Market",Table11[[#This Row],[Column2]]*0.01,IF(Table11[[#This Row],[Location]]="Country Club Centre",Table11[[#This Row],[Column2]]*0.01,IF(Table11[[#This Row],[Location]]="Naval Air Station Norfolk",Table11[[#This Row],[Column2]]*0.005,F87*0.02))),2)</f>
        <v>105.96</v>
      </c>
      <c r="K8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87" s="11">
        <f t="shared" si="4"/>
        <v>264.89</v>
      </c>
      <c r="M87" s="10">
        <f t="shared" si="5"/>
        <v>370.84999999999997</v>
      </c>
    </row>
    <row r="88" spans="1:13" x14ac:dyDescent="0.25">
      <c r="A88" s="143" t="str">
        <f>IF(Table11[[#This Row],[Date]]=0,"",IF(Table11[[#This Row],[Date]]&lt;(Summary!$B$3-6),1,""))</f>
        <v/>
      </c>
      <c r="B88" s="127">
        <v>46270</v>
      </c>
      <c r="C88" s="16">
        <v>100</v>
      </c>
      <c r="D88" s="16" t="s">
        <v>17</v>
      </c>
      <c r="E88" s="17">
        <v>5338.42</v>
      </c>
      <c r="F88" s="17">
        <v>5192.3999999999996</v>
      </c>
      <c r="G88" s="10" t="str">
        <f>VLOOKUP(Table11[[#This Row],[Store]],'Rates from Tracker'!A:B,2,0)</f>
        <v>Howe Bout Arden</v>
      </c>
      <c r="H88" t="str">
        <f>VLOOKUP(D88,'Rates from Tracker'!A:C,3,0)</f>
        <v>Exceed Group Howe Bout Arden</v>
      </c>
      <c r="I88" t="str">
        <f>VLOOKUP(Table11[[#This Row],[Franchisee]],'Rates from Tracker'!C:D,2,0)</f>
        <v>Chawla</v>
      </c>
      <c r="J88" s="10">
        <f>ROUND(IF(Table11[[#This Row],[Location]]="Belmont Market",Table11[[#This Row],[Column2]]*0.01,IF(Table11[[#This Row],[Location]]="Country Club Centre",Table11[[#This Row],[Column2]]*0.01,IF(Table11[[#This Row],[Location]]="Naval Air Station Norfolk",Table11[[#This Row],[Column2]]*0.005,F88*0.02))),2)</f>
        <v>103.85</v>
      </c>
      <c r="K8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88" s="11">
        <f t="shared" si="4"/>
        <v>259.62</v>
      </c>
      <c r="M88" s="10">
        <f t="shared" si="5"/>
        <v>363.47</v>
      </c>
    </row>
    <row r="89" spans="1:13" x14ac:dyDescent="0.25">
      <c r="A89" s="143" t="str">
        <f>IF(Table11[[#This Row],[Date]]=0,"",IF(Table11[[#This Row],[Date]]&lt;(Summary!$B$3-6),1,""))</f>
        <v/>
      </c>
      <c r="B89" s="127">
        <v>46270</v>
      </c>
      <c r="C89" s="16">
        <v>126</v>
      </c>
      <c r="D89" s="16" t="s">
        <v>571</v>
      </c>
      <c r="E89" s="17">
        <v>3103.21</v>
      </c>
      <c r="F89" s="17">
        <v>3032.36</v>
      </c>
      <c r="G89" s="10" t="str">
        <f>VLOOKUP(Table11[[#This Row],[Store]],'Rates from Tracker'!A:B,2,0)</f>
        <v>Bend</v>
      </c>
      <c r="H89" t="str">
        <f>VLOOKUP(D89,'Rates from Tracker'!A:C,3,0)</f>
        <v>SSR Holdings LLC</v>
      </c>
      <c r="I89" t="str">
        <f>VLOOKUP(Table11[[#This Row],[Franchisee]],'Rates from Tracker'!C:D,2,0)</f>
        <v>Bikram</v>
      </c>
      <c r="J89" s="10">
        <f>ROUND(IF(Table11[[#This Row],[Location]]="Belmont Market",Table11[[#This Row],[Column2]]*0.01,IF(Table11[[#This Row],[Location]]="Country Club Centre",Table11[[#This Row],[Column2]]*0.01,IF(Table11[[#This Row],[Location]]="Naval Air Station Norfolk",Table11[[#This Row],[Column2]]*0.005,F89*0.02))),2)</f>
        <v>60.65</v>
      </c>
      <c r="K8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89" s="11">
        <f t="shared" si="4"/>
        <v>30.32</v>
      </c>
      <c r="M89" s="10">
        <f t="shared" si="5"/>
        <v>90.97</v>
      </c>
    </row>
    <row r="90" spans="1:13" x14ac:dyDescent="0.25">
      <c r="A90" s="143" t="str">
        <f>IF(Table11[[#This Row],[Date]]=0,"",IF(Table11[[#This Row],[Date]]&lt;(Summary!$B$3-6),1,""))</f>
        <v/>
      </c>
      <c r="B90" s="127">
        <v>46270</v>
      </c>
      <c r="C90" s="16">
        <v>133</v>
      </c>
      <c r="D90" s="16" t="s">
        <v>38</v>
      </c>
      <c r="E90" s="17">
        <v>2967.18</v>
      </c>
      <c r="F90" s="17">
        <v>2926.11</v>
      </c>
      <c r="G90" s="10" t="str">
        <f>VLOOKUP(Table11[[#This Row],[Store]],'Rates from Tracker'!A:B,2,0)</f>
        <v>Woodhill</v>
      </c>
      <c r="H90" t="str">
        <f>VLOOKUP(D90,'Rates from Tracker'!A:C,3,0)</f>
        <v>Rolling Dough LLC</v>
      </c>
      <c r="I90" t="str">
        <f>VLOOKUP(Table11[[#This Row],[Franchisee]],'Rates from Tracker'!C:D,2,0)</f>
        <v>Connolly</v>
      </c>
      <c r="J90" s="10">
        <f>ROUND(IF(Table11[[#This Row],[Location]]="Belmont Market",Table11[[#This Row],[Column2]]*0.01,IF(Table11[[#This Row],[Location]]="Country Club Centre",Table11[[#This Row],[Column2]]*0.01,IF(Table11[[#This Row],[Location]]="Naval Air Station Norfolk",Table11[[#This Row],[Column2]]*0.005,F90*0.02))),2)</f>
        <v>58.52</v>
      </c>
      <c r="K9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90" s="11">
        <f t="shared" si="4"/>
        <v>146.31</v>
      </c>
      <c r="M90" s="10">
        <f t="shared" si="5"/>
        <v>204.83</v>
      </c>
    </row>
    <row r="91" spans="1:13" x14ac:dyDescent="0.25">
      <c r="A91" s="143" t="str">
        <f>IF(Table11[[#This Row],[Date]]=0,"",IF(Table11[[#This Row],[Date]]&lt;(Summary!$B$3-6),1,""))</f>
        <v/>
      </c>
      <c r="B91" s="127">
        <v>46270</v>
      </c>
      <c r="C91" s="16">
        <v>149</v>
      </c>
      <c r="D91" s="16" t="s">
        <v>36</v>
      </c>
      <c r="E91" s="17">
        <v>2190.66</v>
      </c>
      <c r="F91" s="17">
        <v>2182.38</v>
      </c>
      <c r="G91" s="10" t="str">
        <f>VLOOKUP(Table11[[#This Row],[Store]],'Rates from Tracker'!A:B,2,0)</f>
        <v>Westwood Plaza</v>
      </c>
      <c r="H91" t="str">
        <f>VLOOKUP(D91,'Rates from Tracker'!A:C,3,0)</f>
        <v>Rolling Dough LLC</v>
      </c>
      <c r="I91" t="str">
        <f>VLOOKUP(Table11[[#This Row],[Franchisee]],'Rates from Tracker'!C:D,2,0)</f>
        <v>Connolly</v>
      </c>
      <c r="J91" s="10">
        <f>ROUND(IF(Table11[[#This Row],[Location]]="Belmont Market",Table11[[#This Row],[Column2]]*0.01,IF(Table11[[#This Row],[Location]]="Country Club Centre",Table11[[#This Row],[Column2]]*0.01,IF(Table11[[#This Row],[Location]]="Naval Air Station Norfolk",Table11[[#This Row],[Column2]]*0.005,F91*0.02))),2)</f>
        <v>43.65</v>
      </c>
      <c r="K9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91" s="11">
        <f t="shared" si="4"/>
        <v>109.12</v>
      </c>
      <c r="M91" s="10">
        <f t="shared" si="5"/>
        <v>152.77000000000001</v>
      </c>
    </row>
    <row r="92" spans="1:13" x14ac:dyDescent="0.25">
      <c r="A92" s="143" t="str">
        <f>IF(Table11[[#This Row],[Date]]=0,"",IF(Table11[[#This Row],[Date]]&lt;(Summary!$B$3-6),1,""))</f>
        <v/>
      </c>
      <c r="B92" s="127">
        <v>46270</v>
      </c>
      <c r="C92" s="16">
        <v>157</v>
      </c>
      <c r="D92" s="16" t="s">
        <v>15</v>
      </c>
      <c r="E92" s="17">
        <v>4196.43</v>
      </c>
      <c r="F92" s="17">
        <v>4074.4</v>
      </c>
      <c r="G92" s="10" t="str">
        <f>VLOOKUP(Table11[[#This Row],[Store]],'Rates from Tracker'!A:B,2,0)</f>
        <v>Hamburg #6</v>
      </c>
      <c r="H92" t="str">
        <f>VLOOKUP(D92,'Rates from Tracker'!A:C,3,0)</f>
        <v>Cool Dough Development, LLC</v>
      </c>
      <c r="I92" t="str">
        <f>VLOOKUP(Table11[[#This Row],[Franchisee]],'Rates from Tracker'!C:D,2,0)</f>
        <v>Denning</v>
      </c>
      <c r="J92" s="10">
        <f>ROUND(IF(Table11[[#This Row],[Location]]="Belmont Market",Table11[[#This Row],[Column2]]*0.01,IF(Table11[[#This Row],[Location]]="Country Club Centre",Table11[[#This Row],[Column2]]*0.01,IF(Table11[[#This Row],[Location]]="Naval Air Station Norfolk",Table11[[#This Row],[Column2]]*0.005,F92*0.02))),2)</f>
        <v>81.489999999999995</v>
      </c>
      <c r="K9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92" s="11">
        <f t="shared" si="4"/>
        <v>203.72</v>
      </c>
      <c r="M92" s="10">
        <f t="shared" si="5"/>
        <v>285.20999999999998</v>
      </c>
    </row>
    <row r="93" spans="1:13" x14ac:dyDescent="0.25">
      <c r="A93" s="143" t="str">
        <f>IF(Table11[[#This Row],[Date]]=0,"",IF(Table11[[#This Row],[Date]]&lt;(Summary!$B$3-6),1,""))</f>
        <v/>
      </c>
      <c r="B93" s="127">
        <v>46270</v>
      </c>
      <c r="C93" s="16">
        <v>158</v>
      </c>
      <c r="D93" s="16" t="s">
        <v>20</v>
      </c>
      <c r="E93" s="17">
        <v>2990.74</v>
      </c>
      <c r="F93" s="17">
        <v>2939.18</v>
      </c>
      <c r="G93" s="10" t="str">
        <f>VLOOKUP(Table11[[#This Row],[Store]],'Rates from Tracker'!A:B,2,0)</f>
        <v>McCaslin Marketplace</v>
      </c>
      <c r="H93" t="str">
        <f>VLOOKUP(D93,'Rates from Tracker'!A:C,3,0)</f>
        <v>Best Pizza LLC</v>
      </c>
      <c r="I93" t="str">
        <f>VLOOKUP(Table11[[#This Row],[Franchisee]],'Rates from Tracker'!C:D,2,0)</f>
        <v>Merullo</v>
      </c>
      <c r="J93" s="10">
        <f>ROUND(IF(Table11[[#This Row],[Location]]="Belmont Market",Table11[[#This Row],[Column2]]*0.01,IF(Table11[[#This Row],[Location]]="Country Club Centre",Table11[[#This Row],[Column2]]*0.01,IF(Table11[[#This Row],[Location]]="Naval Air Station Norfolk",Table11[[#This Row],[Column2]]*0.005,F93*0.02))),2)</f>
        <v>58.78</v>
      </c>
      <c r="K9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93" s="11">
        <f t="shared" si="4"/>
        <v>146.96</v>
      </c>
      <c r="M93" s="10">
        <f t="shared" si="5"/>
        <v>205.74</v>
      </c>
    </row>
    <row r="94" spans="1:13" x14ac:dyDescent="0.25">
      <c r="A94" s="143" t="str">
        <f>IF(Table11[[#This Row],[Date]]=0,"",IF(Table11[[#This Row],[Date]]&lt;(Summary!$B$3-6),1,""))</f>
        <v/>
      </c>
      <c r="B94" s="127">
        <v>46270</v>
      </c>
      <c r="C94" s="16">
        <v>159</v>
      </c>
      <c r="D94" s="16" t="s">
        <v>24</v>
      </c>
      <c r="E94" s="17">
        <v>2077.5300000000002</v>
      </c>
      <c r="F94" s="17">
        <v>2021.57</v>
      </c>
      <c r="G94" s="10" t="str">
        <f>VLOOKUP(Table11[[#This Row],[Store]],'Rates from Tracker'!A:B,2,0)</f>
        <v>North Charleston</v>
      </c>
      <c r="H94" t="str">
        <f>VLOOKUP(D94,'Rates from Tracker'!A:C,3,0)</f>
        <v>Rolling Dough LLC</v>
      </c>
      <c r="I94" t="str">
        <f>VLOOKUP(Table11[[#This Row],[Franchisee]],'Rates from Tracker'!C:D,2,0)</f>
        <v>Connolly</v>
      </c>
      <c r="J94" s="10">
        <f>ROUND(IF(Table11[[#This Row],[Location]]="Belmont Market",Table11[[#This Row],[Column2]]*0.01,IF(Table11[[#This Row],[Location]]="Country Club Centre",Table11[[#This Row],[Column2]]*0.01,IF(Table11[[#This Row],[Location]]="Naval Air Station Norfolk",Table11[[#This Row],[Column2]]*0.005,F94*0.02))),2)</f>
        <v>40.43</v>
      </c>
      <c r="K9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94" s="11">
        <f t="shared" si="4"/>
        <v>101.08</v>
      </c>
      <c r="M94" s="10">
        <f t="shared" si="5"/>
        <v>141.51</v>
      </c>
    </row>
    <row r="95" spans="1:13" x14ac:dyDescent="0.25">
      <c r="A95" s="143" t="str">
        <f>IF(Table11[[#This Row],[Date]]=0,"",IF(Table11[[#This Row],[Date]]&lt;(Summary!$B$3-6),1,""))</f>
        <v/>
      </c>
      <c r="B95" s="127">
        <v>46270</v>
      </c>
      <c r="C95" s="16">
        <v>161</v>
      </c>
      <c r="D95" s="16" t="s">
        <v>10</v>
      </c>
      <c r="E95" s="17">
        <v>4604.01</v>
      </c>
      <c r="F95" s="17">
        <v>4391.41</v>
      </c>
      <c r="G95" s="10" t="str">
        <f>VLOOKUP(Table11[[#This Row],[Store]],'Rates from Tracker'!A:B,2,0)</f>
        <v>Chico</v>
      </c>
      <c r="H95" t="str">
        <f>VLOOKUP(D95,'Rates from Tracker'!A:C,3,0)</f>
        <v>Exceed Group Chico</v>
      </c>
      <c r="I95" t="str">
        <f>VLOOKUP(Table11[[#This Row],[Franchisee]],'Rates from Tracker'!C:D,2,0)</f>
        <v>Chawla</v>
      </c>
      <c r="J95" s="10">
        <f>ROUND(IF(Table11[[#This Row],[Location]]="Belmont Market",Table11[[#This Row],[Column2]]*0.01,IF(Table11[[#This Row],[Location]]="Country Club Centre",Table11[[#This Row],[Column2]]*0.01,IF(Table11[[#This Row],[Location]]="Naval Air Station Norfolk",Table11[[#This Row],[Column2]]*0.005,F95*0.02))),2)</f>
        <v>87.83</v>
      </c>
      <c r="K9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95" s="11">
        <f t="shared" si="4"/>
        <v>219.57</v>
      </c>
      <c r="M95" s="10">
        <f t="shared" si="5"/>
        <v>307.39999999999998</v>
      </c>
    </row>
    <row r="96" spans="1:13" x14ac:dyDescent="0.25">
      <c r="A96" s="143" t="str">
        <f>IF(Table11[[#This Row],[Date]]=0,"",IF(Table11[[#This Row],[Date]]&lt;(Summary!$B$3-6),1,""))</f>
        <v/>
      </c>
      <c r="B96" s="127">
        <v>46270</v>
      </c>
      <c r="C96" s="16">
        <v>163</v>
      </c>
      <c r="D96" s="16" t="s">
        <v>13</v>
      </c>
      <c r="E96" s="17">
        <v>4235.2299999999996</v>
      </c>
      <c r="F96" s="17">
        <v>4190.5</v>
      </c>
      <c r="G96" s="10" t="str">
        <f>VLOOKUP(Table11[[#This Row],[Store]],'Rates from Tracker'!A:B,2,0)</f>
        <v>Forest Trace</v>
      </c>
      <c r="H96" t="str">
        <f>VLOOKUP(D96,'Rates from Tracker'!A:C,3,0)</f>
        <v>Best Pizza LLC</v>
      </c>
      <c r="I96" t="str">
        <f>VLOOKUP(Table11[[#This Row],[Franchisee]],'Rates from Tracker'!C:D,2,0)</f>
        <v>Merullo</v>
      </c>
      <c r="J96" s="10">
        <f>ROUND(IF(Table11[[#This Row],[Location]]="Belmont Market",Table11[[#This Row],[Column2]]*0.01,IF(Table11[[#This Row],[Location]]="Country Club Centre",Table11[[#This Row],[Column2]]*0.01,IF(Table11[[#This Row],[Location]]="Naval Air Station Norfolk",Table11[[#This Row],[Column2]]*0.005,F96*0.02))),2)</f>
        <v>83.81</v>
      </c>
      <c r="K9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96" s="11">
        <f t="shared" si="4"/>
        <v>209.53</v>
      </c>
      <c r="M96" s="10">
        <f t="shared" si="5"/>
        <v>293.34000000000003</v>
      </c>
    </row>
    <row r="97" spans="1:13" x14ac:dyDescent="0.25">
      <c r="A97" s="143" t="str">
        <f>IF(Table11[[#This Row],[Date]]=0,"",IF(Table11[[#This Row],[Date]]&lt;(Summary!$B$3-6),1,""))</f>
        <v/>
      </c>
      <c r="B97" s="127">
        <v>46270</v>
      </c>
      <c r="C97" s="16">
        <v>166</v>
      </c>
      <c r="D97" s="16" t="s">
        <v>8</v>
      </c>
      <c r="E97" s="17">
        <v>3762.03</v>
      </c>
      <c r="F97" s="17">
        <v>3660.47</v>
      </c>
      <c r="G97" s="10" t="str">
        <f>VLOOKUP(Table11[[#This Row],[Store]],'Rates from Tracker'!A:B,2,0)</f>
        <v>Centre Avenue</v>
      </c>
      <c r="H97" t="str">
        <f>VLOOKUP(D97,'Rates from Tracker'!A:C,3,0)</f>
        <v>Best Pizza LLC</v>
      </c>
      <c r="I97" t="str">
        <f>VLOOKUP(Table11[[#This Row],[Franchisee]],'Rates from Tracker'!C:D,2,0)</f>
        <v>Merullo</v>
      </c>
      <c r="J97" s="10">
        <f>ROUND(IF(Table11[[#This Row],[Location]]="Belmont Market",Table11[[#This Row],[Column2]]*0.01,IF(Table11[[#This Row],[Location]]="Country Club Centre",Table11[[#This Row],[Column2]]*0.01,IF(Table11[[#This Row],[Location]]="Naval Air Station Norfolk",Table11[[#This Row],[Column2]]*0.005,F97*0.02))),2)</f>
        <v>73.209999999999994</v>
      </c>
      <c r="K9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97" s="11">
        <f t="shared" si="4"/>
        <v>183.02</v>
      </c>
      <c r="M97" s="10">
        <f t="shared" si="5"/>
        <v>256.23</v>
      </c>
    </row>
    <row r="98" spans="1:13" x14ac:dyDescent="0.25">
      <c r="A98" s="143" t="str">
        <f>IF(Table11[[#This Row],[Date]]=0,"",IF(Table11[[#This Row],[Date]]&lt;(Summary!$B$3-6),1,""))</f>
        <v/>
      </c>
      <c r="B98" s="127">
        <v>46270</v>
      </c>
      <c r="C98" s="16">
        <v>172</v>
      </c>
      <c r="D98" s="16" t="s">
        <v>579</v>
      </c>
      <c r="E98" s="17">
        <v>4116.7700000000004</v>
      </c>
      <c r="F98" s="17">
        <v>4061.21</v>
      </c>
      <c r="G98" s="10" t="str">
        <f>VLOOKUP(Table11[[#This Row],[Store]],'Rates from Tracker'!A:B,2,0)</f>
        <v>Oakway</v>
      </c>
      <c r="H98" t="str">
        <f>VLOOKUP(D98,'Rates from Tracker'!A:C,3,0)</f>
        <v>SSR Holdings LLC</v>
      </c>
      <c r="I98" t="str">
        <f>VLOOKUP(Table11[[#This Row],[Franchisee]],'Rates from Tracker'!C:D,2,0)</f>
        <v>Bikram</v>
      </c>
      <c r="J98" s="10">
        <f>ROUND(IF(Table11[[#This Row],[Location]]="Belmont Market",Table11[[#This Row],[Column2]]*0.01,IF(Table11[[#This Row],[Location]]="Country Club Centre",Table11[[#This Row],[Column2]]*0.01,IF(Table11[[#This Row],[Location]]="Naval Air Station Norfolk",Table11[[#This Row],[Column2]]*0.005,F98*0.02))),2)</f>
        <v>81.22</v>
      </c>
      <c r="K9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98" s="11">
        <f t="shared" si="4"/>
        <v>40.61</v>
      </c>
      <c r="M98" s="10">
        <f t="shared" si="5"/>
        <v>121.83</v>
      </c>
    </row>
    <row r="99" spans="1:13" x14ac:dyDescent="0.25">
      <c r="A99" s="143" t="str">
        <f>IF(Table11[[#This Row],[Date]]=0,"",IF(Table11[[#This Row],[Date]]&lt;(Summary!$B$3-6),1,""))</f>
        <v/>
      </c>
      <c r="B99" s="127">
        <v>46270</v>
      </c>
      <c r="C99" s="16">
        <v>204</v>
      </c>
      <c r="D99" s="16" t="s">
        <v>578</v>
      </c>
      <c r="E99" s="17">
        <v>3239.45</v>
      </c>
      <c r="F99" s="17">
        <v>3154.03</v>
      </c>
      <c r="G99" s="10" t="str">
        <f>VLOOKUP(Table11[[#This Row],[Store]],'Rates from Tracker'!A:B,2,0)</f>
        <v>North Medford</v>
      </c>
      <c r="H99" t="str">
        <f>VLOOKUP(D99,'Rates from Tracker'!A:C,3,0)</f>
        <v>SSR Holdings LLC</v>
      </c>
      <c r="I99" t="str">
        <f>VLOOKUP(Table11[[#This Row],[Franchisee]],'Rates from Tracker'!C:D,2,0)</f>
        <v>Bikram</v>
      </c>
      <c r="J99" s="10">
        <f>ROUND(IF(Table11[[#This Row],[Location]]="Belmont Market",Table11[[#This Row],[Column2]]*0.01,IF(Table11[[#This Row],[Location]]="Country Club Centre",Table11[[#This Row],[Column2]]*0.01,IF(Table11[[#This Row],[Location]]="Naval Air Station Norfolk",Table11[[#This Row],[Column2]]*0.005,F99*0.02))),2)</f>
        <v>63.08</v>
      </c>
      <c r="K9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99" s="11">
        <f t="shared" si="4"/>
        <v>31.54</v>
      </c>
      <c r="M99" s="10">
        <f t="shared" si="5"/>
        <v>94.62</v>
      </c>
    </row>
    <row r="100" spans="1:13" x14ac:dyDescent="0.25">
      <c r="A100" s="143" t="str">
        <f>IF(Table11[[#This Row],[Date]]=0,"",IF(Table11[[#This Row],[Date]]&lt;(Summary!$B$3-6),1,""))</f>
        <v/>
      </c>
      <c r="B100" s="127">
        <v>46270</v>
      </c>
      <c r="C100" s="16">
        <v>210</v>
      </c>
      <c r="D100" s="16" t="s">
        <v>586</v>
      </c>
      <c r="E100" s="17">
        <v>2356.9299999999998</v>
      </c>
      <c r="F100" s="17">
        <v>2348.94</v>
      </c>
      <c r="G100" s="10" t="str">
        <f>VLOOKUP(Table11[[#This Row],[Store]],'Rates from Tracker'!A:B,2,0)</f>
        <v>South Eugene</v>
      </c>
      <c r="H100" t="str">
        <f>VLOOKUP(D100,'Rates from Tracker'!A:C,3,0)</f>
        <v>SSR Holdings LLC</v>
      </c>
      <c r="I100" t="str">
        <f>VLOOKUP(Table11[[#This Row],[Franchisee]],'Rates from Tracker'!C:D,2,0)</f>
        <v>Bikram</v>
      </c>
      <c r="J100" s="10">
        <f>ROUND(IF(Table11[[#This Row],[Location]]="Belmont Market",Table11[[#This Row],[Column2]]*0.01,IF(Table11[[#This Row],[Location]]="Country Club Centre",Table11[[#This Row],[Column2]]*0.01,IF(Table11[[#This Row],[Location]]="Naval Air Station Norfolk",Table11[[#This Row],[Column2]]*0.005,F100*0.02))),2)</f>
        <v>46.98</v>
      </c>
      <c r="K10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00" s="11">
        <f t="shared" si="4"/>
        <v>23.49</v>
      </c>
      <c r="M100" s="10">
        <f t="shared" si="5"/>
        <v>70.47</v>
      </c>
    </row>
    <row r="101" spans="1:13" x14ac:dyDescent="0.25">
      <c r="A101" s="143" t="str">
        <f>IF(Table11[[#This Row],[Date]]=0,"",IF(Table11[[#This Row],[Date]]&lt;(Summary!$B$3-6),1,""))</f>
        <v/>
      </c>
      <c r="B101" s="127">
        <v>46270</v>
      </c>
      <c r="C101" s="16">
        <v>212</v>
      </c>
      <c r="D101" s="16" t="s">
        <v>39</v>
      </c>
      <c r="E101" s="17">
        <v>3898.53</v>
      </c>
      <c r="F101" s="17">
        <v>3758.48</v>
      </c>
      <c r="G101" s="10" t="str">
        <f>VLOOKUP(Table11[[#This Row],[Store]],'Rates from Tracker'!A:B,2,0)</f>
        <v>Woodland</v>
      </c>
      <c r="H101" t="str">
        <f>VLOOKUP(D101,'Rates from Tracker'!A:C,3,0)</f>
        <v>Exceed Group Woodland</v>
      </c>
      <c r="I101" t="str">
        <f>VLOOKUP(Table11[[#This Row],[Franchisee]],'Rates from Tracker'!C:D,2,0)</f>
        <v>Chawla</v>
      </c>
      <c r="J101" s="10">
        <f>ROUND(IF(Table11[[#This Row],[Location]]="Belmont Market",Table11[[#This Row],[Column2]]*0.01,IF(Table11[[#This Row],[Location]]="Country Club Centre",Table11[[#This Row],[Column2]]*0.01,IF(Table11[[#This Row],[Location]]="Naval Air Station Norfolk",Table11[[#This Row],[Column2]]*0.005,F101*0.02))),2)</f>
        <v>75.17</v>
      </c>
      <c r="K10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01" s="11">
        <f t="shared" si="4"/>
        <v>187.92</v>
      </c>
      <c r="M101" s="10">
        <f t="shared" si="5"/>
        <v>263.08999999999997</v>
      </c>
    </row>
    <row r="102" spans="1:13" x14ac:dyDescent="0.25">
      <c r="A102" s="143" t="str">
        <f>IF(Table11[[#This Row],[Date]]=0,"",IF(Table11[[#This Row],[Date]]&lt;(Summary!$B$3-6),1,""))</f>
        <v/>
      </c>
      <c r="B102" s="127">
        <v>46270</v>
      </c>
      <c r="C102" s="16">
        <v>216</v>
      </c>
      <c r="D102" s="16" t="s">
        <v>23</v>
      </c>
      <c r="E102" s="17">
        <v>2544.6799999999998</v>
      </c>
      <c r="F102" s="17">
        <v>2446.4899999999998</v>
      </c>
      <c r="G102" s="10" t="str">
        <f>VLOOKUP(Table11[[#This Row],[Store]],'Rates from Tracker'!A:B,2,0)</f>
        <v>NE Columbia</v>
      </c>
      <c r="H102" t="str">
        <f>VLOOKUP(D102,'Rates from Tracker'!A:C,3,0)</f>
        <v>Rolling Dough LLC</v>
      </c>
      <c r="I102" t="str">
        <f>VLOOKUP(Table11[[#This Row],[Franchisee]],'Rates from Tracker'!C:D,2,0)</f>
        <v>Connolly</v>
      </c>
      <c r="J102" s="10">
        <f>ROUND(IF(Table11[[#This Row],[Location]]="Belmont Market",Table11[[#This Row],[Column2]]*0.01,IF(Table11[[#This Row],[Location]]="Country Club Centre",Table11[[#This Row],[Column2]]*0.01,IF(Table11[[#This Row],[Location]]="Naval Air Station Norfolk",Table11[[#This Row],[Column2]]*0.005,F102*0.02))),2)</f>
        <v>48.93</v>
      </c>
      <c r="K10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02" s="11">
        <f t="shared" si="4"/>
        <v>122.32</v>
      </c>
      <c r="M102" s="10">
        <f t="shared" si="5"/>
        <v>171.25</v>
      </c>
    </row>
    <row r="103" spans="1:13" x14ac:dyDescent="0.25">
      <c r="A103" s="143" t="str">
        <f>IF(Table11[[#This Row],[Date]]=0,"",IF(Table11[[#This Row],[Date]]&lt;(Summary!$B$3-6),1,""))</f>
        <v/>
      </c>
      <c r="B103" s="127">
        <v>46270</v>
      </c>
      <c r="C103" s="16">
        <v>228</v>
      </c>
      <c r="D103" s="16" t="s">
        <v>131</v>
      </c>
      <c r="E103" s="17">
        <v>1657.12</v>
      </c>
      <c r="F103" s="17">
        <v>1640.54</v>
      </c>
      <c r="G103" s="10" t="str">
        <f>VLOOKUP(Table11[[#This Row],[Store]],'Rates from Tracker'!A:B,2,0)</f>
        <v>Auburn Village</v>
      </c>
      <c r="H103" t="str">
        <f>VLOOKUP(D103,'Rates from Tracker'!A:C,3,0)</f>
        <v>Exceed Group Auburn Village</v>
      </c>
      <c r="I103" t="str">
        <f>VLOOKUP(Table11[[#This Row],[Franchisee]],'Rates from Tracker'!C:D,2,0)</f>
        <v>Chawla</v>
      </c>
      <c r="J103" s="10">
        <f>ROUND(IF(Table11[[#This Row],[Location]]="Belmont Market",Table11[[#This Row],[Column2]]*0.01,IF(Table11[[#This Row],[Location]]="Country Club Centre",Table11[[#This Row],[Column2]]*0.01,IF(Table11[[#This Row],[Location]]="Naval Air Station Norfolk",Table11[[#This Row],[Column2]]*0.005,F103*0.02))),2)</f>
        <v>32.81</v>
      </c>
      <c r="K10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03" s="11">
        <f t="shared" si="4"/>
        <v>82.03</v>
      </c>
      <c r="M103" s="10">
        <f t="shared" si="5"/>
        <v>114.84</v>
      </c>
    </row>
    <row r="104" spans="1:13" x14ac:dyDescent="0.25">
      <c r="A104" s="143" t="str">
        <f>IF(Table11[[#This Row],[Date]]=0,"",IF(Table11[[#This Row],[Date]]&lt;(Summary!$B$3-6),1,""))</f>
        <v/>
      </c>
      <c r="B104" s="127">
        <v>46270</v>
      </c>
      <c r="C104" s="16">
        <v>231</v>
      </c>
      <c r="D104" s="16" t="s">
        <v>133</v>
      </c>
      <c r="E104" s="17">
        <v>3352.58</v>
      </c>
      <c r="F104" s="17">
        <v>3319.21</v>
      </c>
      <c r="G104" s="10" t="str">
        <f>VLOOKUP(Table11[[#This Row],[Store]],'Rates from Tracker'!A:B,2,0)</f>
        <v>Kennesaw</v>
      </c>
      <c r="H104" t="str">
        <f>VLOOKUP(D104,'Rates from Tracker'!A:C,3,0)</f>
        <v>Southern Pie LLC</v>
      </c>
      <c r="I104" t="str">
        <f>VLOOKUP(Table11[[#This Row],[Franchisee]],'Rates from Tracker'!C:D,2,0)</f>
        <v>Hill/Hayden</v>
      </c>
      <c r="J104" s="10">
        <f>ROUND(IF(Table11[[#This Row],[Location]]="Belmont Market",Table11[[#This Row],[Column2]]*0.01,IF(Table11[[#This Row],[Location]]="Country Club Centre",Table11[[#This Row],[Column2]]*0.01,IF(Table11[[#This Row],[Location]]="Naval Air Station Norfolk",Table11[[#This Row],[Column2]]*0.005,F104*0.02))),2)</f>
        <v>66.38</v>
      </c>
      <c r="K10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04" s="11">
        <f t="shared" si="4"/>
        <v>165.96</v>
      </c>
      <c r="M104" s="10">
        <f t="shared" si="5"/>
        <v>232.34</v>
      </c>
    </row>
    <row r="105" spans="1:13" x14ac:dyDescent="0.25">
      <c r="A105" s="143" t="str">
        <f>IF(Table11[[#This Row],[Date]]=0,"",IF(Table11[[#This Row],[Date]]&lt;(Summary!$B$3-6),1,""))</f>
        <v/>
      </c>
      <c r="B105" s="127">
        <v>46270</v>
      </c>
      <c r="C105" s="16">
        <v>241</v>
      </c>
      <c r="D105" s="16" t="s">
        <v>592</v>
      </c>
      <c r="E105" s="17">
        <v>2765.93</v>
      </c>
      <c r="F105" s="17">
        <v>2674.29</v>
      </c>
      <c r="G105" s="10" t="str">
        <f>VLOOKUP(Table11[[#This Row],[Store]],'Rates from Tracker'!A:B,2,0)</f>
        <v>Woods Cross</v>
      </c>
      <c r="H105" t="str">
        <f>VLOOKUP(D105,'Rates from Tracker'!A:C,3,0)</f>
        <v>SSR Holdings LLC</v>
      </c>
      <c r="I105" t="str">
        <f>VLOOKUP(Table11[[#This Row],[Franchisee]],'Rates from Tracker'!C:D,2,0)</f>
        <v>Bikram</v>
      </c>
      <c r="J105" s="10">
        <f>ROUND(IF(Table11[[#This Row],[Location]]="Belmont Market",Table11[[#This Row],[Column2]]*0.01,IF(Table11[[#This Row],[Location]]="Country Club Centre",Table11[[#This Row],[Column2]]*0.01,IF(Table11[[#This Row],[Location]]="Naval Air Station Norfolk",Table11[[#This Row],[Column2]]*0.005,F105*0.02))),2)</f>
        <v>53.49</v>
      </c>
      <c r="K10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05" s="11">
        <f t="shared" si="4"/>
        <v>26.74</v>
      </c>
      <c r="M105" s="10">
        <f t="shared" si="5"/>
        <v>80.23</v>
      </c>
    </row>
    <row r="106" spans="1:13" x14ac:dyDescent="0.25">
      <c r="A106" s="143" t="str">
        <f>IF(Table11[[#This Row],[Date]]=0,"",IF(Table11[[#This Row],[Date]]&lt;(Summary!$B$3-6),1,""))</f>
        <v/>
      </c>
      <c r="B106" s="127">
        <v>46270</v>
      </c>
      <c r="C106" s="16">
        <v>244</v>
      </c>
      <c r="D106" s="16" t="s">
        <v>155</v>
      </c>
      <c r="E106" s="17">
        <v>2910.89</v>
      </c>
      <c r="F106" s="17">
        <v>2840.41</v>
      </c>
      <c r="G106" s="10" t="str">
        <f>VLOOKUP(Table11[[#This Row],[Store]],'Rates from Tracker'!A:B,2,0)</f>
        <v>Redfield Promenade</v>
      </c>
      <c r="H106" t="str">
        <f>VLOOKUP(D106,'Rates from Tracker'!A:C,3,0)</f>
        <v>Exceed Group Redfield Promenade</v>
      </c>
      <c r="I106" t="str">
        <f>VLOOKUP(Table11[[#This Row],[Franchisee]],'Rates from Tracker'!C:D,2,0)</f>
        <v>Chawla</v>
      </c>
      <c r="J106" s="10">
        <f>ROUND(IF(Table11[[#This Row],[Location]]="Belmont Market",Table11[[#This Row],[Column2]]*0.01,IF(Table11[[#This Row],[Location]]="Country Club Centre",Table11[[#This Row],[Column2]]*0.01,IF(Table11[[#This Row],[Location]]="Naval Air Station Norfolk",Table11[[#This Row],[Column2]]*0.005,F106*0.02))),2)</f>
        <v>56.81</v>
      </c>
      <c r="K10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06" s="11">
        <f t="shared" si="4"/>
        <v>142.02000000000001</v>
      </c>
      <c r="M106" s="10">
        <f t="shared" si="5"/>
        <v>198.83</v>
      </c>
    </row>
    <row r="107" spans="1:13" x14ac:dyDescent="0.25">
      <c r="A107" s="143" t="str">
        <f>IF(Table11[[#This Row],[Date]]=0,"",IF(Table11[[#This Row],[Date]]&lt;(Summary!$B$3-6),1,""))</f>
        <v/>
      </c>
      <c r="B107" s="127">
        <v>46270</v>
      </c>
      <c r="C107" s="16">
        <v>245</v>
      </c>
      <c r="D107" s="16" t="s">
        <v>157</v>
      </c>
      <c r="E107" s="17">
        <v>2207.6</v>
      </c>
      <c r="F107" s="17">
        <v>2059.7199999999998</v>
      </c>
      <c r="G107" s="10" t="str">
        <f>VLOOKUP(Table11[[#This Row],[Store]],'Rates from Tracker'!A:B,2,0)</f>
        <v>Evansville #11</v>
      </c>
      <c r="H107" t="str">
        <f>VLOOKUP(D107,'Rates from Tracker'!A:C,3,0)</f>
        <v>Cool Dough Development, LLC</v>
      </c>
      <c r="I107" t="str">
        <f>VLOOKUP(Table11[[#This Row],[Franchisee]],'Rates from Tracker'!C:D,2,0)</f>
        <v>Denning</v>
      </c>
      <c r="J107" s="10">
        <f>ROUND(IF(Table11[[#This Row],[Location]]="Belmont Market",Table11[[#This Row],[Column2]]*0.01,IF(Table11[[#This Row],[Location]]="Country Club Centre",Table11[[#This Row],[Column2]]*0.01,IF(Table11[[#This Row],[Location]]="Naval Air Station Norfolk",Table11[[#This Row],[Column2]]*0.005,F107*0.02))),2)</f>
        <v>41.19</v>
      </c>
      <c r="K10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07" s="11">
        <f t="shared" si="4"/>
        <v>102.99</v>
      </c>
      <c r="M107" s="10">
        <f t="shared" si="5"/>
        <v>144.18</v>
      </c>
    </row>
    <row r="108" spans="1:13" x14ac:dyDescent="0.25">
      <c r="A108" s="143" t="str">
        <f>IF(Table11[[#This Row],[Date]]=0,"",IF(Table11[[#This Row],[Date]]&lt;(Summary!$B$3-6),1,""))</f>
        <v/>
      </c>
      <c r="B108" s="127">
        <v>46270</v>
      </c>
      <c r="C108" s="16">
        <v>251</v>
      </c>
      <c r="D108" s="16" t="s">
        <v>258</v>
      </c>
      <c r="E108" s="17">
        <v>5381.98</v>
      </c>
      <c r="F108" s="17">
        <v>5286.78</v>
      </c>
      <c r="G108" s="10" t="str">
        <f>VLOOKUP(Table11[[#This Row],[Store]],'Rates from Tracker'!A:B,2,0)</f>
        <v>Westminster Promenade</v>
      </c>
      <c r="H108" t="str">
        <f>VLOOKUP(D108,'Rates from Tracker'!A:C,3,0)</f>
        <v>Best Pizza LLC</v>
      </c>
      <c r="I108" t="str">
        <f>VLOOKUP(Table11[[#This Row],[Franchisee]],'Rates from Tracker'!C:D,2,0)</f>
        <v>Merullo</v>
      </c>
      <c r="J108" s="10">
        <f>ROUND(IF(Table11[[#This Row],[Location]]="Belmont Market",Table11[[#This Row],[Column2]]*0.01,IF(Table11[[#This Row],[Location]]="Country Club Centre",Table11[[#This Row],[Column2]]*0.01,IF(Table11[[#This Row],[Location]]="Naval Air Station Norfolk",Table11[[#This Row],[Column2]]*0.005,F108*0.02))),2)</f>
        <v>105.74</v>
      </c>
      <c r="K10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08" s="11">
        <f t="shared" si="4"/>
        <v>264.33999999999997</v>
      </c>
      <c r="M108" s="10">
        <f t="shared" si="5"/>
        <v>370.08</v>
      </c>
    </row>
    <row r="109" spans="1:13" x14ac:dyDescent="0.25">
      <c r="A109" s="143" t="str">
        <f>IF(Table11[[#This Row],[Date]]=0,"",IF(Table11[[#This Row],[Date]]&lt;(Summary!$B$3-6),1,""))</f>
        <v/>
      </c>
      <c r="B109" s="127">
        <v>46270</v>
      </c>
      <c r="C109" s="16">
        <v>253</v>
      </c>
      <c r="D109" s="16" t="s">
        <v>580</v>
      </c>
      <c r="E109" s="17">
        <v>4105.54</v>
      </c>
      <c r="F109" s="17">
        <v>4008.07</v>
      </c>
      <c r="G109" s="10" t="str">
        <f>VLOOKUP(Table11[[#This Row],[Store]],'Rates from Tracker'!A:B,2,0)</f>
        <v>Park City</v>
      </c>
      <c r="H109" t="str">
        <f>VLOOKUP(D109,'Rates from Tracker'!A:C,3,0)</f>
        <v>SSR Holdings LLC</v>
      </c>
      <c r="I109" t="str">
        <f>VLOOKUP(Table11[[#This Row],[Franchisee]],'Rates from Tracker'!C:D,2,0)</f>
        <v>Bikram</v>
      </c>
      <c r="J109" s="10">
        <f>ROUND(IF(Table11[[#This Row],[Location]]="Belmont Market",Table11[[#This Row],[Column2]]*0.01,IF(Table11[[#This Row],[Location]]="Country Club Centre",Table11[[#This Row],[Column2]]*0.01,IF(Table11[[#This Row],[Location]]="Naval Air Station Norfolk",Table11[[#This Row],[Column2]]*0.005,F109*0.02))),2)</f>
        <v>80.16</v>
      </c>
      <c r="K10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09" s="11">
        <f t="shared" si="4"/>
        <v>40.08</v>
      </c>
      <c r="M109" s="10">
        <f t="shared" si="5"/>
        <v>120.24</v>
      </c>
    </row>
    <row r="110" spans="1:13" x14ac:dyDescent="0.25">
      <c r="A110" s="143" t="str">
        <f>IF(Table11[[#This Row],[Date]]=0,"",IF(Table11[[#This Row],[Date]]&lt;(Summary!$B$3-6),1,""))</f>
        <v/>
      </c>
      <c r="B110" s="127">
        <v>46270</v>
      </c>
      <c r="C110" s="16">
        <v>256</v>
      </c>
      <c r="D110" s="16" t="s">
        <v>266</v>
      </c>
      <c r="E110" s="17">
        <v>3883.44</v>
      </c>
      <c r="F110" s="17">
        <v>3749.47</v>
      </c>
      <c r="G110" s="10" t="str">
        <f>VLOOKUP(Table11[[#This Row],[Store]],'Rates from Tracker'!A:B,2,0)</f>
        <v>S Academy Highlands</v>
      </c>
      <c r="H110" t="str">
        <f>VLOOKUP(D110,'Rates from Tracker'!A:C,3,0)</f>
        <v>Best Pizza LLC</v>
      </c>
      <c r="I110" t="str">
        <f>VLOOKUP(Table11[[#This Row],[Franchisee]],'Rates from Tracker'!C:D,2,0)</f>
        <v>Merullo</v>
      </c>
      <c r="J110" s="10">
        <f>ROUND(IF(Table11[[#This Row],[Location]]="Belmont Market",Table11[[#This Row],[Column2]]*0.01,IF(Table11[[#This Row],[Location]]="Country Club Centre",Table11[[#This Row],[Column2]]*0.01,IF(Table11[[#This Row],[Location]]="Naval Air Station Norfolk",Table11[[#This Row],[Column2]]*0.005,F110*0.02))),2)</f>
        <v>74.989999999999995</v>
      </c>
      <c r="K11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10" s="11">
        <f t="shared" si="4"/>
        <v>187.47</v>
      </c>
      <c r="M110" s="10">
        <f t="shared" si="5"/>
        <v>262.45999999999998</v>
      </c>
    </row>
    <row r="111" spans="1:13" x14ac:dyDescent="0.25">
      <c r="A111" s="143" t="str">
        <f>IF(Table11[[#This Row],[Date]]=0,"",IF(Table11[[#This Row],[Date]]&lt;(Summary!$B$3-6),1,""))</f>
        <v/>
      </c>
      <c r="B111" s="127">
        <v>46270</v>
      </c>
      <c r="C111" s="16">
        <v>258</v>
      </c>
      <c r="D111" s="16" t="s">
        <v>582</v>
      </c>
      <c r="E111" s="17">
        <v>2200.7800000000002</v>
      </c>
      <c r="F111" s="17">
        <v>2169.17</v>
      </c>
      <c r="G111" s="10" t="str">
        <f>VLOOKUP(Table11[[#This Row],[Store]],'Rates from Tracker'!A:B,2,0)</f>
        <v>Riverdale</v>
      </c>
      <c r="H111" t="str">
        <f>VLOOKUP(D111,'Rates from Tracker'!A:C,3,0)</f>
        <v>SSR Holdings LLC</v>
      </c>
      <c r="I111" t="str">
        <f>VLOOKUP(Table11[[#This Row],[Franchisee]],'Rates from Tracker'!C:D,2,0)</f>
        <v>Bikram</v>
      </c>
      <c r="J111" s="10">
        <f>ROUND(IF(Table11[[#This Row],[Location]]="Belmont Market",Table11[[#This Row],[Column2]]*0.01,IF(Table11[[#This Row],[Location]]="Country Club Centre",Table11[[#This Row],[Column2]]*0.01,IF(Table11[[#This Row],[Location]]="Naval Air Station Norfolk",Table11[[#This Row],[Column2]]*0.005,F111*0.02))),2)</f>
        <v>43.38</v>
      </c>
      <c r="K11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11" s="11">
        <f t="shared" si="4"/>
        <v>21.69</v>
      </c>
      <c r="M111" s="10">
        <f t="shared" si="5"/>
        <v>65.070000000000007</v>
      </c>
    </row>
    <row r="112" spans="1:13" x14ac:dyDescent="0.25">
      <c r="A112" s="143" t="str">
        <f>IF(Table11[[#This Row],[Date]]=0,"",IF(Table11[[#This Row],[Date]]&lt;(Summary!$B$3-6),1,""))</f>
        <v/>
      </c>
      <c r="B112" s="127">
        <v>46270</v>
      </c>
      <c r="C112" s="16">
        <v>260</v>
      </c>
      <c r="D112" s="16" t="s">
        <v>280</v>
      </c>
      <c r="E112" s="17">
        <v>4277.21</v>
      </c>
      <c r="F112" s="17">
        <v>4126.3500000000004</v>
      </c>
      <c r="G112" s="10" t="str">
        <f>VLOOKUP(Table11[[#This Row],[Store]],'Rates from Tracker'!A:B,2,0)</f>
        <v>Highlands Ranch</v>
      </c>
      <c r="H112" t="str">
        <f>VLOOKUP(D112,'Rates from Tracker'!A:C,3,0)</f>
        <v>Best Pizza LLC</v>
      </c>
      <c r="I112" t="str">
        <f>VLOOKUP(Table11[[#This Row],[Franchisee]],'Rates from Tracker'!C:D,2,0)</f>
        <v>Merullo</v>
      </c>
      <c r="J112" s="10">
        <f>ROUND(IF(Table11[[#This Row],[Location]]="Belmont Market",Table11[[#This Row],[Column2]]*0.01,IF(Table11[[#This Row],[Location]]="Country Club Centre",Table11[[#This Row],[Column2]]*0.01,IF(Table11[[#This Row],[Location]]="Naval Air Station Norfolk",Table11[[#This Row],[Column2]]*0.005,F112*0.02))),2)</f>
        <v>82.53</v>
      </c>
      <c r="K11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12" s="11">
        <f t="shared" si="4"/>
        <v>206.32</v>
      </c>
      <c r="M112" s="10">
        <f t="shared" si="5"/>
        <v>288.85000000000002</v>
      </c>
    </row>
    <row r="113" spans="1:13" x14ac:dyDescent="0.25">
      <c r="A113" s="143" t="str">
        <f>IF(Table11[[#This Row],[Date]]=0,"",IF(Table11[[#This Row],[Date]]&lt;(Summary!$B$3-6),1,""))</f>
        <v/>
      </c>
      <c r="B113" s="127">
        <v>46270</v>
      </c>
      <c r="C113" s="16">
        <v>265</v>
      </c>
      <c r="D113" s="16" t="s">
        <v>267</v>
      </c>
      <c r="E113" s="17">
        <v>5592.06</v>
      </c>
      <c r="F113" s="17">
        <v>5402.43</v>
      </c>
      <c r="G113" s="10" t="str">
        <f>VLOOKUP(Table11[[#This Row],[Store]],'Rates from Tracker'!A:B,2,0)</f>
        <v>Dublin Commons</v>
      </c>
      <c r="H113" t="str">
        <f>VLOOKUP(D113,'Rates from Tracker'!A:C,3,0)</f>
        <v>Best Pizza LLC</v>
      </c>
      <c r="I113" t="str">
        <f>VLOOKUP(Table11[[#This Row],[Franchisee]],'Rates from Tracker'!C:D,2,0)</f>
        <v>Merullo</v>
      </c>
      <c r="J113" s="10">
        <f>ROUND(IF(Table11[[#This Row],[Location]]="Belmont Market",Table11[[#This Row],[Column2]]*0.01,IF(Table11[[#This Row],[Location]]="Country Club Centre",Table11[[#This Row],[Column2]]*0.01,IF(Table11[[#This Row],[Location]]="Naval Air Station Norfolk",Table11[[#This Row],[Column2]]*0.005,F113*0.02))),2)</f>
        <v>108.05</v>
      </c>
      <c r="K11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13" s="11">
        <f t="shared" si="4"/>
        <v>270.12</v>
      </c>
      <c r="M113" s="10">
        <f t="shared" si="5"/>
        <v>378.17</v>
      </c>
    </row>
    <row r="114" spans="1:13" x14ac:dyDescent="0.25">
      <c r="A114" s="143" t="str">
        <f>IF(Table11[[#This Row],[Date]]=0,"",IF(Table11[[#This Row],[Date]]&lt;(Summary!$B$3-6),1,""))</f>
        <v/>
      </c>
      <c r="B114" s="127">
        <v>46270</v>
      </c>
      <c r="C114" s="16">
        <v>267</v>
      </c>
      <c r="D114" s="16" t="s">
        <v>281</v>
      </c>
      <c r="E114" s="17">
        <v>1829.42</v>
      </c>
      <c r="F114" s="17">
        <v>1789.84</v>
      </c>
      <c r="G114" s="10" t="str">
        <f>VLOOKUP(Table11[[#This Row],[Store]],'Rates from Tracker'!A:B,2,0)</f>
        <v>Decatur</v>
      </c>
      <c r="H114" t="str">
        <f>VLOOKUP(D114,'Rates from Tracker'!A:C,3,0)</f>
        <v>DAZ9</v>
      </c>
      <c r="I114" t="str">
        <f>VLOOKUP(Table11[[#This Row],[Franchisee]],'Rates from Tracker'!C:D,2,0)</f>
        <v>Neal Patel</v>
      </c>
      <c r="J114" s="10">
        <f>ROUND(IF(Table11[[#This Row],[Location]]="Belmont Market",Table11[[#This Row],[Column2]]*0.01,IF(Table11[[#This Row],[Location]]="Country Club Centre",Table11[[#This Row],[Column2]]*0.01,IF(Table11[[#This Row],[Location]]="Naval Air Station Norfolk",Table11[[#This Row],[Column2]]*0.005,F114*0.02))),2)</f>
        <v>35.799999999999997</v>
      </c>
      <c r="K11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14" s="11">
        <f t="shared" si="4"/>
        <v>17.899999999999999</v>
      </c>
      <c r="M114" s="10">
        <f t="shared" si="5"/>
        <v>53.699999999999996</v>
      </c>
    </row>
    <row r="115" spans="1:13" x14ac:dyDescent="0.25">
      <c r="A115" s="143" t="str">
        <f>IF(Table11[[#This Row],[Date]]=0,"",IF(Table11[[#This Row],[Date]]&lt;(Summary!$B$3-6),1,""))</f>
        <v/>
      </c>
      <c r="B115" s="127">
        <v>46270</v>
      </c>
      <c r="C115" s="16">
        <v>272</v>
      </c>
      <c r="D115" s="16" t="s">
        <v>290</v>
      </c>
      <c r="E115" s="17">
        <v>3050.08</v>
      </c>
      <c r="F115" s="17">
        <v>2993.34</v>
      </c>
      <c r="G115" s="10" t="str">
        <f>VLOOKUP(Table11[[#This Row],[Store]],'Rates from Tracker'!A:B,2,0)</f>
        <v>Northfield Commons</v>
      </c>
      <c r="H115" t="str">
        <f>VLOOKUP(D115,'Rates from Tracker'!A:C,3,0)</f>
        <v>Best Pizza LLC</v>
      </c>
      <c r="I115" t="str">
        <f>VLOOKUP(Table11[[#This Row],[Franchisee]],'Rates from Tracker'!C:D,2,0)</f>
        <v>Merullo</v>
      </c>
      <c r="J115" s="10">
        <f>ROUND(IF(Table11[[#This Row],[Location]]="Belmont Market",Table11[[#This Row],[Column2]]*0.01,IF(Table11[[#This Row],[Location]]="Country Club Centre",Table11[[#This Row],[Column2]]*0.01,IF(Table11[[#This Row],[Location]]="Naval Air Station Norfolk",Table11[[#This Row],[Column2]]*0.005,F115*0.02))),2)</f>
        <v>59.87</v>
      </c>
      <c r="K11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15" s="11">
        <f t="shared" si="4"/>
        <v>149.66999999999999</v>
      </c>
      <c r="M115" s="10">
        <f t="shared" si="5"/>
        <v>209.54</v>
      </c>
    </row>
    <row r="116" spans="1:13" x14ac:dyDescent="0.25">
      <c r="A116" s="143" t="str">
        <f>IF(Table11[[#This Row],[Date]]=0,"",IF(Table11[[#This Row],[Date]]&lt;(Summary!$B$3-6),1,""))</f>
        <v/>
      </c>
      <c r="B116" s="127">
        <v>46270</v>
      </c>
      <c r="C116" s="16">
        <v>278</v>
      </c>
      <c r="D116" s="16" t="s">
        <v>284</v>
      </c>
      <c r="E116" s="17">
        <v>1967.24</v>
      </c>
      <c r="F116" s="17">
        <v>1931.77</v>
      </c>
      <c r="G116" s="10" t="str">
        <f>VLOOKUP(Table11[[#This Row],[Store]],'Rates from Tracker'!A:B,2,0)</f>
        <v>Diamond Circle</v>
      </c>
      <c r="H116" t="str">
        <f>VLOOKUP(D116,'Rates from Tracker'!A:C,3,0)</f>
        <v>Best Pizza LLC</v>
      </c>
      <c r="I116" t="str">
        <f>VLOOKUP(Table11[[#This Row],[Franchisee]],'Rates from Tracker'!C:D,2,0)</f>
        <v>Merullo</v>
      </c>
      <c r="J116" s="10">
        <f>ROUND(IF(Table11[[#This Row],[Location]]="Belmont Market",Table11[[#This Row],[Column2]]*0.01,IF(Table11[[#This Row],[Location]]="Country Club Centre",Table11[[#This Row],[Column2]]*0.01,IF(Table11[[#This Row],[Location]]="Naval Air Station Norfolk",Table11[[#This Row],[Column2]]*0.005,F116*0.02))),2)</f>
        <v>38.64</v>
      </c>
      <c r="K11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16" s="11">
        <f t="shared" si="4"/>
        <v>96.59</v>
      </c>
      <c r="M116" s="10">
        <f t="shared" si="5"/>
        <v>135.23000000000002</v>
      </c>
    </row>
    <row r="117" spans="1:13" x14ac:dyDescent="0.25">
      <c r="A117" s="143" t="str">
        <f>IF(Table11[[#This Row],[Date]]=0,"",IF(Table11[[#This Row],[Date]]&lt;(Summary!$B$3-6),1,""))</f>
        <v/>
      </c>
      <c r="B117" s="127">
        <v>46270</v>
      </c>
      <c r="C117" s="16">
        <v>279</v>
      </c>
      <c r="D117" s="16" t="s">
        <v>299</v>
      </c>
      <c r="E117" s="17">
        <v>2039.38</v>
      </c>
      <c r="F117" s="17">
        <v>2017.16</v>
      </c>
      <c r="G117" s="10" t="str">
        <f>VLOOKUP(Table11[[#This Row],[Store]],'Rates from Tracker'!A:B,2,0)</f>
        <v>Lexington</v>
      </c>
      <c r="H117" t="str">
        <f>VLOOKUP(D117,'Rates from Tracker'!A:C,3,0)</f>
        <v>Rolling Dough LLC</v>
      </c>
      <c r="I117" t="str">
        <f>VLOOKUP(Table11[[#This Row],[Franchisee]],'Rates from Tracker'!C:D,2,0)</f>
        <v>Connolly</v>
      </c>
      <c r="J117" s="10">
        <f>ROUND(IF(Table11[[#This Row],[Location]]="Belmont Market",Table11[[#This Row],[Column2]]*0.01,IF(Table11[[#This Row],[Location]]="Country Club Centre",Table11[[#This Row],[Column2]]*0.01,IF(Table11[[#This Row],[Location]]="Naval Air Station Norfolk",Table11[[#This Row],[Column2]]*0.005,F117*0.02))),2)</f>
        <v>40.340000000000003</v>
      </c>
      <c r="K11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17" s="11">
        <f t="shared" si="4"/>
        <v>100.86</v>
      </c>
      <c r="M117" s="10">
        <f t="shared" si="5"/>
        <v>141.19999999999999</v>
      </c>
    </row>
    <row r="118" spans="1:13" x14ac:dyDescent="0.25">
      <c r="A118" s="143" t="str">
        <f>IF(Table11[[#This Row],[Date]]=0,"",IF(Table11[[#This Row],[Date]]&lt;(Summary!$B$3-6),1,""))</f>
        <v/>
      </c>
      <c r="B118" s="127">
        <v>46270</v>
      </c>
      <c r="C118" s="16">
        <v>285</v>
      </c>
      <c r="D118" s="16" t="s">
        <v>288</v>
      </c>
      <c r="E118" s="17">
        <v>4943.8500000000004</v>
      </c>
      <c r="F118" s="17">
        <v>4831.9799999999996</v>
      </c>
      <c r="G118" s="10" t="str">
        <f>VLOOKUP(Table11[[#This Row],[Store]],'Rates from Tracker'!A:B,2,0)</f>
        <v>Polaris Pointe</v>
      </c>
      <c r="H118" t="str">
        <f>VLOOKUP(D118,'Rates from Tracker'!A:C,3,0)</f>
        <v>Best Pizza LLC</v>
      </c>
      <c r="I118" t="str">
        <f>VLOOKUP(Table11[[#This Row],[Franchisee]],'Rates from Tracker'!C:D,2,0)</f>
        <v>Merullo</v>
      </c>
      <c r="J118" s="10">
        <f>ROUND(IF(Table11[[#This Row],[Location]]="Belmont Market",Table11[[#This Row],[Column2]]*0.01,IF(Table11[[#This Row],[Location]]="Country Club Centre",Table11[[#This Row],[Column2]]*0.01,IF(Table11[[#This Row],[Location]]="Naval Air Station Norfolk",Table11[[#This Row],[Column2]]*0.005,F118*0.02))),2)</f>
        <v>96.64</v>
      </c>
      <c r="K11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18" s="11">
        <f t="shared" si="4"/>
        <v>241.6</v>
      </c>
      <c r="M118" s="10">
        <f t="shared" si="5"/>
        <v>338.24</v>
      </c>
    </row>
    <row r="119" spans="1:13" x14ac:dyDescent="0.25">
      <c r="A119" s="143" t="str">
        <f>IF(Table11[[#This Row],[Date]]=0,"",IF(Table11[[#This Row],[Date]]&lt;(Summary!$B$3-6),1,""))</f>
        <v/>
      </c>
      <c r="B119" s="127">
        <v>46270</v>
      </c>
      <c r="C119" s="16">
        <v>292</v>
      </c>
      <c r="D119" s="16" t="s">
        <v>296</v>
      </c>
      <c r="E119" s="17">
        <v>3386.56</v>
      </c>
      <c r="F119" s="17">
        <v>3236.79</v>
      </c>
      <c r="G119" s="10" t="str">
        <f>VLOOKUP(Table11[[#This Row],[Store]],'Rates from Tracker'!A:B,2,0)</f>
        <v>Greeley</v>
      </c>
      <c r="H119" t="str">
        <f>VLOOKUP(D119,'Rates from Tracker'!A:C,3,0)</f>
        <v>Best Pizza LLC</v>
      </c>
      <c r="I119" t="str">
        <f>VLOOKUP(Table11[[#This Row],[Franchisee]],'Rates from Tracker'!C:D,2,0)</f>
        <v>Merullo</v>
      </c>
      <c r="J119" s="10">
        <f>ROUND(IF(Table11[[#This Row],[Location]]="Belmont Market",Table11[[#This Row],[Column2]]*0.01,IF(Table11[[#This Row],[Location]]="Country Club Centre",Table11[[#This Row],[Column2]]*0.01,IF(Table11[[#This Row],[Location]]="Naval Air Station Norfolk",Table11[[#This Row],[Column2]]*0.005,F119*0.02))),2)</f>
        <v>64.739999999999995</v>
      </c>
      <c r="K11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19" s="11">
        <f t="shared" si="4"/>
        <v>161.84</v>
      </c>
      <c r="M119" s="10">
        <f t="shared" si="5"/>
        <v>226.57999999999998</v>
      </c>
    </row>
    <row r="120" spans="1:13" x14ac:dyDescent="0.25">
      <c r="A120" s="143" t="str">
        <f>IF(Table11[[#This Row],[Date]]=0,"",IF(Table11[[#This Row],[Date]]&lt;(Summary!$B$3-6),1,""))</f>
        <v/>
      </c>
      <c r="B120" s="127">
        <v>46270</v>
      </c>
      <c r="C120" s="16">
        <v>293</v>
      </c>
      <c r="D120" s="16" t="s">
        <v>320</v>
      </c>
      <c r="E120" s="17">
        <v>2622.77</v>
      </c>
      <c r="F120" s="17">
        <v>2579.6799999999998</v>
      </c>
      <c r="G120" s="10" t="str">
        <f>VLOOKUP(Table11[[#This Row],[Store]],'Rates from Tracker'!A:B,2,0)</f>
        <v>West Sacramento</v>
      </c>
      <c r="H120" t="str">
        <f>VLOOKUP(D120,'Rates from Tracker'!A:C,3,0)</f>
        <v>Exceed Group West Sacramento</v>
      </c>
      <c r="I120" t="str">
        <f>VLOOKUP(Table11[[#This Row],[Franchisee]],'Rates from Tracker'!C:D,2,0)</f>
        <v>Chawla</v>
      </c>
      <c r="J120" s="10">
        <f>ROUND(IF(Table11[[#This Row],[Location]]="Belmont Market",Table11[[#This Row],[Column2]]*0.01,IF(Table11[[#This Row],[Location]]="Country Club Centre",Table11[[#This Row],[Column2]]*0.01,IF(Table11[[#This Row],[Location]]="Naval Air Station Norfolk",Table11[[#This Row],[Column2]]*0.005,F120*0.02))),2)</f>
        <v>51.59</v>
      </c>
      <c r="K12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20" s="11">
        <f t="shared" si="4"/>
        <v>128.97999999999999</v>
      </c>
      <c r="M120" s="10">
        <f t="shared" si="5"/>
        <v>180.57</v>
      </c>
    </row>
    <row r="121" spans="1:13" x14ac:dyDescent="0.25">
      <c r="A121" s="143" t="str">
        <f>IF(Table11[[#This Row],[Date]]=0,"",IF(Table11[[#This Row],[Date]]&lt;(Summary!$B$3-6),1,""))</f>
        <v/>
      </c>
      <c r="B121" s="127">
        <v>46270</v>
      </c>
      <c r="C121" s="16">
        <v>296</v>
      </c>
      <c r="D121" s="16" t="s">
        <v>329</v>
      </c>
      <c r="E121" s="17">
        <v>2148.41</v>
      </c>
      <c r="F121" s="17">
        <v>2120.8200000000002</v>
      </c>
      <c r="G121" s="10" t="str">
        <f>VLOOKUP(Table11[[#This Row],[Store]],'Rates from Tracker'!A:B,2,0)</f>
        <v>Rancho Cordova</v>
      </c>
      <c r="H121" t="str">
        <f>VLOOKUP(D121,'Rates from Tracker'!A:C,3,0)</f>
        <v>Exceed Group Rancho Cordova</v>
      </c>
      <c r="I121" t="str">
        <f>VLOOKUP(Table11[[#This Row],[Franchisee]],'Rates from Tracker'!C:D,2,0)</f>
        <v>Chawla</v>
      </c>
      <c r="J121" s="10">
        <f>ROUND(IF(Table11[[#This Row],[Location]]="Belmont Market",Table11[[#This Row],[Column2]]*0.01,IF(Table11[[#This Row],[Location]]="Country Club Centre",Table11[[#This Row],[Column2]]*0.01,IF(Table11[[#This Row],[Location]]="Naval Air Station Norfolk",Table11[[#This Row],[Column2]]*0.005,F121*0.02))),2)</f>
        <v>42.42</v>
      </c>
      <c r="K12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21" s="11">
        <f t="shared" si="4"/>
        <v>106.04</v>
      </c>
      <c r="M121" s="10">
        <f t="shared" si="5"/>
        <v>148.46</v>
      </c>
    </row>
    <row r="122" spans="1:13" x14ac:dyDescent="0.25">
      <c r="A122" s="143" t="str">
        <f>IF(Table11[[#This Row],[Date]]=0,"",IF(Table11[[#This Row],[Date]]&lt;(Summary!$B$3-6),1,""))</f>
        <v/>
      </c>
      <c r="B122" s="127">
        <v>46270</v>
      </c>
      <c r="C122" s="16">
        <v>324</v>
      </c>
      <c r="D122" s="16" t="s">
        <v>569</v>
      </c>
      <c r="E122" s="17">
        <v>2655.4</v>
      </c>
      <c r="F122" s="17">
        <v>2557.36</v>
      </c>
      <c r="G122" s="10" t="str">
        <f>VLOOKUP(Table11[[#This Row],[Store]],'Rates from Tracker'!A:B,2,0)</f>
        <v>American Fork</v>
      </c>
      <c r="H122" t="str">
        <f>VLOOKUP(D122,'Rates from Tracker'!A:C,3,0)</f>
        <v>SSR Holdings LLC</v>
      </c>
      <c r="I122" t="str">
        <f>VLOOKUP(Table11[[#This Row],[Franchisee]],'Rates from Tracker'!C:D,2,0)</f>
        <v>Bikram</v>
      </c>
      <c r="J122" s="10">
        <f>ROUND(IF(Table11[[#This Row],[Location]]="Belmont Market",Table11[[#This Row],[Column2]]*0.01,IF(Table11[[#This Row],[Location]]="Country Club Centre",Table11[[#This Row],[Column2]]*0.01,IF(Table11[[#This Row],[Location]]="Naval Air Station Norfolk",Table11[[#This Row],[Column2]]*0.005,F122*0.02))),2)</f>
        <v>51.15</v>
      </c>
      <c r="K12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22" s="11">
        <f t="shared" si="4"/>
        <v>25.57</v>
      </c>
      <c r="M122" s="10">
        <f t="shared" si="5"/>
        <v>76.72</v>
      </c>
    </row>
    <row r="123" spans="1:13" x14ac:dyDescent="0.25">
      <c r="A123" s="143" t="str">
        <f>IF(Table11[[#This Row],[Date]]=0,"",IF(Table11[[#This Row],[Date]]&lt;(Summary!$B$3-6),1,""))</f>
        <v/>
      </c>
      <c r="B123" s="127">
        <v>46270</v>
      </c>
      <c r="C123" s="16">
        <v>325</v>
      </c>
      <c r="D123" s="16" t="s">
        <v>591</v>
      </c>
      <c r="E123" s="17">
        <v>2491.34</v>
      </c>
      <c r="F123" s="17">
        <v>2421.5</v>
      </c>
      <c r="G123" s="10" t="str">
        <f>VLOOKUP(Table11[[#This Row],[Store]],'Rates from Tracker'!A:B,2,0)</f>
        <v>Sugar House</v>
      </c>
      <c r="H123" t="str">
        <f>VLOOKUP(D123,'Rates from Tracker'!A:C,3,0)</f>
        <v>SSR Holdings LLC</v>
      </c>
      <c r="I123" t="str">
        <f>VLOOKUP(Table11[[#This Row],[Franchisee]],'Rates from Tracker'!C:D,2,0)</f>
        <v>Bikram</v>
      </c>
      <c r="J123" s="10">
        <f>ROUND(IF(Table11[[#This Row],[Location]]="Belmont Market",Table11[[#This Row],[Column2]]*0.01,IF(Table11[[#This Row],[Location]]="Country Club Centre",Table11[[#This Row],[Column2]]*0.01,IF(Table11[[#This Row],[Location]]="Naval Air Station Norfolk",Table11[[#This Row],[Column2]]*0.005,F123*0.02))),2)</f>
        <v>48.43</v>
      </c>
      <c r="K12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23" s="11">
        <f t="shared" si="4"/>
        <v>24.22</v>
      </c>
      <c r="M123" s="10">
        <f t="shared" si="5"/>
        <v>72.650000000000006</v>
      </c>
    </row>
    <row r="124" spans="1:13" x14ac:dyDescent="0.25">
      <c r="A124" s="143" t="str">
        <f>IF(Table11[[#This Row],[Date]]=0,"",IF(Table11[[#This Row],[Date]]&lt;(Summary!$B$3-6),1,""))</f>
        <v/>
      </c>
      <c r="B124" s="127">
        <v>46270</v>
      </c>
      <c r="C124" s="16">
        <v>332</v>
      </c>
      <c r="D124" s="16" t="s">
        <v>583</v>
      </c>
      <c r="E124" s="17">
        <v>2250.48</v>
      </c>
      <c r="F124" s="17">
        <v>2181.77</v>
      </c>
      <c r="G124" s="10" t="str">
        <f>VLOOKUP(Table11[[#This Row],[Store]],'Rates from Tracker'!A:B,2,0)</f>
        <v>Riverton</v>
      </c>
      <c r="H124" t="str">
        <f>VLOOKUP(D124,'Rates from Tracker'!A:C,3,0)</f>
        <v>SSR Holdings LLC</v>
      </c>
      <c r="I124" t="str">
        <f>VLOOKUP(Table11[[#This Row],[Franchisee]],'Rates from Tracker'!C:D,2,0)</f>
        <v>Bikram</v>
      </c>
      <c r="J124" s="10">
        <f>ROUND(IF(Table11[[#This Row],[Location]]="Belmont Market",Table11[[#This Row],[Column2]]*0.01,IF(Table11[[#This Row],[Location]]="Country Club Centre",Table11[[#This Row],[Column2]]*0.01,IF(Table11[[#This Row],[Location]]="Naval Air Station Norfolk",Table11[[#This Row],[Column2]]*0.005,F124*0.02))),2)</f>
        <v>43.64</v>
      </c>
      <c r="K12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24" s="11">
        <f t="shared" si="4"/>
        <v>21.82</v>
      </c>
      <c r="M124" s="10">
        <f t="shared" si="5"/>
        <v>65.460000000000008</v>
      </c>
    </row>
    <row r="125" spans="1:13" x14ac:dyDescent="0.25">
      <c r="A125" s="143" t="str">
        <f>IF(Table11[[#This Row],[Date]]=0,"",IF(Table11[[#This Row],[Date]]&lt;(Summary!$B$3-6),1,""))</f>
        <v/>
      </c>
      <c r="B125" s="127">
        <v>46270</v>
      </c>
      <c r="C125" s="16">
        <v>334</v>
      </c>
      <c r="D125" s="16" t="s">
        <v>577</v>
      </c>
      <c r="E125" s="17">
        <v>2583.42</v>
      </c>
      <c r="F125" s="17">
        <v>2506.11</v>
      </c>
      <c r="G125" s="10" t="str">
        <f>VLOOKUP(Table11[[#This Row],[Store]],'Rates from Tracker'!A:B,2,0)</f>
        <v>Layton</v>
      </c>
      <c r="H125" t="str">
        <f>VLOOKUP(D125,'Rates from Tracker'!A:C,3,0)</f>
        <v>SSR Holdings LLC</v>
      </c>
      <c r="I125" t="str">
        <f>VLOOKUP(Table11[[#This Row],[Franchisee]],'Rates from Tracker'!C:D,2,0)</f>
        <v>Bikram</v>
      </c>
      <c r="J125" s="10">
        <f>ROUND(IF(Table11[[#This Row],[Location]]="Belmont Market",Table11[[#This Row],[Column2]]*0.01,IF(Table11[[#This Row],[Location]]="Country Club Centre",Table11[[#This Row],[Column2]]*0.01,IF(Table11[[#This Row],[Location]]="Naval Air Station Norfolk",Table11[[#This Row],[Column2]]*0.005,F125*0.02))),2)</f>
        <v>50.12</v>
      </c>
      <c r="K12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25" s="11">
        <f t="shared" si="4"/>
        <v>25.06</v>
      </c>
      <c r="M125" s="10">
        <f t="shared" si="5"/>
        <v>75.179999999999993</v>
      </c>
    </row>
    <row r="126" spans="1:13" x14ac:dyDescent="0.25">
      <c r="A126" s="143" t="str">
        <f>IF(Table11[[#This Row],[Date]]=0,"",IF(Table11[[#This Row],[Date]]&lt;(Summary!$B$3-6),1,""))</f>
        <v/>
      </c>
      <c r="B126" s="127">
        <v>46270</v>
      </c>
      <c r="C126" s="16">
        <v>338</v>
      </c>
      <c r="D126" s="16" t="s">
        <v>310</v>
      </c>
      <c r="E126" s="17">
        <v>2596.33</v>
      </c>
      <c r="F126" s="17">
        <v>2439.11</v>
      </c>
      <c r="G126" s="10" t="str">
        <f>VLOOKUP(Table11[[#This Row],[Store]],'Rates from Tracker'!A:B,2,0)</f>
        <v>Augusta Exchange</v>
      </c>
      <c r="H126" t="str">
        <f>VLOOKUP(D126,'Rates from Tracker'!A:C,3,0)</f>
        <v>Rolling Dough LLC</v>
      </c>
      <c r="I126" t="str">
        <f>VLOOKUP(Table11[[#This Row],[Franchisee]],'Rates from Tracker'!C:D,2,0)</f>
        <v>Connolly</v>
      </c>
      <c r="J126" s="10">
        <f>ROUND(IF(Table11[[#This Row],[Location]]="Belmont Market",Table11[[#This Row],[Column2]]*0.01,IF(Table11[[#This Row],[Location]]="Country Club Centre",Table11[[#This Row],[Column2]]*0.01,IF(Table11[[#This Row],[Location]]="Naval Air Station Norfolk",Table11[[#This Row],[Column2]]*0.005,F126*0.02))),2)</f>
        <v>48.78</v>
      </c>
      <c r="K12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26" s="11">
        <f t="shared" si="4"/>
        <v>121.96</v>
      </c>
      <c r="M126" s="10">
        <f t="shared" si="5"/>
        <v>170.74</v>
      </c>
    </row>
    <row r="127" spans="1:13" x14ac:dyDescent="0.25">
      <c r="A127" s="143" t="str">
        <f>IF(Table11[[#This Row],[Date]]=0,"",IF(Table11[[#This Row],[Date]]&lt;(Summary!$B$3-6),1,""))</f>
        <v/>
      </c>
      <c r="B127" s="127">
        <v>46270</v>
      </c>
      <c r="C127" s="16">
        <v>348</v>
      </c>
      <c r="D127" s="16" t="s">
        <v>572</v>
      </c>
      <c r="E127" s="17">
        <v>3464.27</v>
      </c>
      <c r="F127" s="17">
        <v>3295.72</v>
      </c>
      <c r="G127" s="10" t="str">
        <f>VLOOKUP(Table11[[#This Row],[Store]],'Rates from Tracker'!A:B,2,0)</f>
        <v>Bend North</v>
      </c>
      <c r="H127" t="str">
        <f>VLOOKUP(D127,'Rates from Tracker'!A:C,3,0)</f>
        <v>SSR Holdings LLC</v>
      </c>
      <c r="I127" t="str">
        <f>VLOOKUP(Table11[[#This Row],[Franchisee]],'Rates from Tracker'!C:D,2,0)</f>
        <v>Bikram</v>
      </c>
      <c r="J127" s="10">
        <f>ROUND(IF(Table11[[#This Row],[Location]]="Belmont Market",Table11[[#This Row],[Column2]]*0.01,IF(Table11[[#This Row],[Location]]="Country Club Centre",Table11[[#This Row],[Column2]]*0.01,IF(Table11[[#This Row],[Location]]="Naval Air Station Norfolk",Table11[[#This Row],[Column2]]*0.005,F127*0.02))),2)</f>
        <v>65.91</v>
      </c>
      <c r="K12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27" s="11">
        <f t="shared" si="4"/>
        <v>32.96</v>
      </c>
      <c r="M127" s="10">
        <f t="shared" si="5"/>
        <v>98.87</v>
      </c>
    </row>
    <row r="128" spans="1:13" x14ac:dyDescent="0.25">
      <c r="A128" s="143" t="str">
        <f>IF(Table11[[#This Row],[Date]]=0,"",IF(Table11[[#This Row],[Date]]&lt;(Summary!$B$3-6),1,""))</f>
        <v/>
      </c>
      <c r="B128" s="127">
        <v>46270</v>
      </c>
      <c r="C128" s="16">
        <v>349</v>
      </c>
      <c r="D128" s="16" t="s">
        <v>588</v>
      </c>
      <c r="E128" s="17">
        <v>2567.5</v>
      </c>
      <c r="F128" s="17">
        <v>2475.92</v>
      </c>
      <c r="G128" s="10" t="str">
        <f>VLOOKUP(Table11[[#This Row],[Store]],'Rates from Tracker'!A:B,2,0)</f>
        <v>South Medford</v>
      </c>
      <c r="H128" t="str">
        <f>VLOOKUP(D128,'Rates from Tracker'!A:C,3,0)</f>
        <v>SSR Holdings LLC</v>
      </c>
      <c r="I128" t="str">
        <f>VLOOKUP(Table11[[#This Row],[Franchisee]],'Rates from Tracker'!C:D,2,0)</f>
        <v>Bikram</v>
      </c>
      <c r="J128" s="10">
        <f>ROUND(IF(Table11[[#This Row],[Location]]="Belmont Market",Table11[[#This Row],[Column2]]*0.01,IF(Table11[[#This Row],[Location]]="Country Club Centre",Table11[[#This Row],[Column2]]*0.01,IF(Table11[[#This Row],[Location]]="Naval Air Station Norfolk",Table11[[#This Row],[Column2]]*0.005,F128*0.02))),2)</f>
        <v>49.52</v>
      </c>
      <c r="K12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28" s="11">
        <f t="shared" si="4"/>
        <v>24.76</v>
      </c>
      <c r="M128" s="10">
        <f t="shared" si="5"/>
        <v>74.28</v>
      </c>
    </row>
    <row r="129" spans="1:13" x14ac:dyDescent="0.25">
      <c r="A129" s="143" t="str">
        <f>IF(Table11[[#This Row],[Date]]=0,"",IF(Table11[[#This Row],[Date]]&lt;(Summary!$B$3-6),1,""))</f>
        <v/>
      </c>
      <c r="B129" s="127">
        <v>46270</v>
      </c>
      <c r="C129" s="16">
        <v>352</v>
      </c>
      <c r="D129" s="16" t="s">
        <v>350</v>
      </c>
      <c r="E129" s="17">
        <v>2200.08</v>
      </c>
      <c r="F129" s="17">
        <v>2075.84</v>
      </c>
      <c r="G129" s="10" t="str">
        <f>VLOOKUP(Table11[[#This Row],[Store]],'Rates from Tracker'!A:B,2,0)</f>
        <v>Georgetown</v>
      </c>
      <c r="H129" t="str">
        <f>VLOOKUP(D129,'Rates from Tracker'!A:C,3,0)</f>
        <v>Cool Dough Development, LLC</v>
      </c>
      <c r="I129" t="str">
        <f>VLOOKUP(Table11[[#This Row],[Franchisee]],'Rates from Tracker'!C:D,2,0)</f>
        <v>Denning</v>
      </c>
      <c r="J129" s="10">
        <f>ROUND(IF(Table11[[#This Row],[Location]]="Belmont Market",Table11[[#This Row],[Column2]]*0.01,IF(Table11[[#This Row],[Location]]="Country Club Centre",Table11[[#This Row],[Column2]]*0.01,IF(Table11[[#This Row],[Location]]="Naval Air Station Norfolk",Table11[[#This Row],[Column2]]*0.005,F129*0.02))),2)</f>
        <v>41.52</v>
      </c>
      <c r="K12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29" s="11">
        <f t="shared" si="4"/>
        <v>103.79</v>
      </c>
      <c r="M129" s="10">
        <f t="shared" si="5"/>
        <v>145.31</v>
      </c>
    </row>
    <row r="130" spans="1:13" x14ac:dyDescent="0.25">
      <c r="A130" s="143" t="str">
        <f>IF(Table11[[#This Row],[Date]]=0,"",IF(Table11[[#This Row],[Date]]&lt;(Summary!$B$3-6),1,""))</f>
        <v/>
      </c>
      <c r="B130" s="127">
        <v>46270</v>
      </c>
      <c r="C130" s="16">
        <v>366</v>
      </c>
      <c r="D130" s="16" t="s">
        <v>585</v>
      </c>
      <c r="E130" s="17">
        <v>3678.5</v>
      </c>
      <c r="F130" s="17">
        <v>3588.04</v>
      </c>
      <c r="G130" s="10" t="str">
        <f>VLOOKUP(Table11[[#This Row],[Store]],'Rates from Tracker'!A:B,2,0)</f>
        <v>Saratoga Springs</v>
      </c>
      <c r="H130" t="str">
        <f>VLOOKUP(D130,'Rates from Tracker'!A:C,3,0)</f>
        <v>SSR Holdings LLC</v>
      </c>
      <c r="I130" t="str">
        <f>VLOOKUP(Table11[[#This Row],[Franchisee]],'Rates from Tracker'!C:D,2,0)</f>
        <v>Bikram</v>
      </c>
      <c r="J130" s="10">
        <f>ROUND(IF(Table11[[#This Row],[Location]]="Belmont Market",Table11[[#This Row],[Column2]]*0.01,IF(Table11[[#This Row],[Location]]="Country Club Centre",Table11[[#This Row],[Column2]]*0.01,IF(Table11[[#This Row],[Location]]="Naval Air Station Norfolk",Table11[[#This Row],[Column2]]*0.005,F130*0.02))),2)</f>
        <v>71.760000000000005</v>
      </c>
      <c r="K13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30" s="11">
        <f t="shared" si="4"/>
        <v>35.880000000000003</v>
      </c>
      <c r="M130" s="10">
        <f t="shared" si="5"/>
        <v>107.64000000000001</v>
      </c>
    </row>
    <row r="131" spans="1:13" x14ac:dyDescent="0.25">
      <c r="A131" s="143" t="str">
        <f>IF(Table11[[#This Row],[Date]]=0,"",IF(Table11[[#This Row],[Date]]&lt;(Summary!$B$3-6),1,""))</f>
        <v/>
      </c>
      <c r="B131" s="127">
        <v>46270</v>
      </c>
      <c r="C131" s="16">
        <v>384</v>
      </c>
      <c r="D131" s="16" t="s">
        <v>339</v>
      </c>
      <c r="E131" s="17">
        <v>3106.01</v>
      </c>
      <c r="F131" s="17">
        <v>3049.07</v>
      </c>
      <c r="G131" s="10" t="str">
        <f>VLOOKUP(Table11[[#This Row],[Store]],'Rates from Tracker'!A:B,2,0)</f>
        <v>Ralston Creek</v>
      </c>
      <c r="H131" t="str">
        <f>VLOOKUP(D131,'Rates from Tracker'!A:C,3,0)</f>
        <v>Best Pizza LLC</v>
      </c>
      <c r="I131" t="str">
        <f>VLOOKUP(Table11[[#This Row],[Franchisee]],'Rates from Tracker'!C:D,2,0)</f>
        <v>Merullo</v>
      </c>
      <c r="J131" s="10">
        <f>ROUND(IF(Table11[[#This Row],[Location]]="Belmont Market",Table11[[#This Row],[Column2]]*0.01,IF(Table11[[#This Row],[Location]]="Country Club Centre",Table11[[#This Row],[Column2]]*0.01,IF(Table11[[#This Row],[Location]]="Naval Air Station Norfolk",Table11[[#This Row],[Column2]]*0.005,F131*0.02))),2)</f>
        <v>60.98</v>
      </c>
      <c r="K13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31" s="11">
        <f t="shared" si="4"/>
        <v>152.44999999999999</v>
      </c>
      <c r="M131" s="10">
        <f t="shared" si="5"/>
        <v>213.42999999999998</v>
      </c>
    </row>
    <row r="132" spans="1:13" x14ac:dyDescent="0.25">
      <c r="A132" s="143" t="str">
        <f>IF(Table11[[#This Row],[Date]]=0,"",IF(Table11[[#This Row],[Date]]&lt;(Summary!$B$3-6),1,""))</f>
        <v/>
      </c>
      <c r="B132" s="127">
        <v>46270</v>
      </c>
      <c r="C132" s="16">
        <v>413</v>
      </c>
      <c r="D132" s="16" t="s">
        <v>322</v>
      </c>
      <c r="E132" s="17">
        <v>1703.14</v>
      </c>
      <c r="F132" s="17">
        <v>1680.95</v>
      </c>
      <c r="G132" s="10" t="str">
        <f>VLOOKUP(Table11[[#This Row],[Store]],'Rates from Tracker'!A:B,2,0)</f>
        <v>Madison</v>
      </c>
      <c r="H132" t="str">
        <f>VLOOKUP(D132,'Rates from Tracker'!A:C,3,0)</f>
        <v>APizza Delight Inc</v>
      </c>
      <c r="I132" t="str">
        <f>VLOOKUP(Table11[[#This Row],[Franchisee]],'Rates from Tracker'!C:D,2,0)</f>
        <v>Patel</v>
      </c>
      <c r="J132" s="10">
        <f>ROUND(IF(Table11[[#This Row],[Location]]="Belmont Market",Table11[[#This Row],[Column2]]*0.01,IF(Table11[[#This Row],[Location]]="Country Club Centre",Table11[[#This Row],[Column2]]*0.01,IF(Table11[[#This Row],[Location]]="Naval Air Station Norfolk",Table11[[#This Row],[Column2]]*0.005,F132*0.02))),2)</f>
        <v>33.619999999999997</v>
      </c>
      <c r="K13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32" s="11">
        <f t="shared" si="4"/>
        <v>16.809999999999999</v>
      </c>
      <c r="M132" s="10">
        <f t="shared" si="5"/>
        <v>50.429999999999993</v>
      </c>
    </row>
    <row r="133" spans="1:13" x14ac:dyDescent="0.25">
      <c r="A133" s="143" t="str">
        <f>IF(Table11[[#This Row],[Date]]=0,"",IF(Table11[[#This Row],[Date]]&lt;(Summary!$B$3-6),1,""))</f>
        <v/>
      </c>
      <c r="B133" s="127">
        <v>46270</v>
      </c>
      <c r="C133" s="16">
        <v>421</v>
      </c>
      <c r="D133" s="16" t="s">
        <v>575</v>
      </c>
      <c r="E133" s="17">
        <v>2338.29</v>
      </c>
      <c r="F133" s="17">
        <v>2219.8000000000002</v>
      </c>
      <c r="G133" s="10" t="str">
        <f>VLOOKUP(Table11[[#This Row],[Store]],'Rates from Tracker'!A:B,2,0)</f>
        <v>Fort Union</v>
      </c>
      <c r="H133" t="str">
        <f>VLOOKUP(D133,'Rates from Tracker'!A:C,3,0)</f>
        <v>SSR Holdings LLC</v>
      </c>
      <c r="I133" t="str">
        <f>VLOOKUP(Table11[[#This Row],[Franchisee]],'Rates from Tracker'!C:D,2,0)</f>
        <v>Bikram</v>
      </c>
      <c r="J133" s="10">
        <f>ROUND(IF(Table11[[#This Row],[Location]]="Belmont Market",Table11[[#This Row],[Column2]]*0.01,IF(Table11[[#This Row],[Location]]="Country Club Centre",Table11[[#This Row],[Column2]]*0.01,IF(Table11[[#This Row],[Location]]="Naval Air Station Norfolk",Table11[[#This Row],[Column2]]*0.005,F133*0.02))),2)</f>
        <v>44.4</v>
      </c>
      <c r="K13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33" s="11">
        <f t="shared" ref="L133:L196" si="6">ROUND(F133*K133,2)</f>
        <v>22.2</v>
      </c>
      <c r="M133" s="10">
        <f t="shared" ref="M133:M196" si="7">J133+L133</f>
        <v>66.599999999999994</v>
      </c>
    </row>
    <row r="134" spans="1:13" x14ac:dyDescent="0.25">
      <c r="A134" s="143" t="str">
        <f>IF(Table11[[#This Row],[Date]]=0,"",IF(Table11[[#This Row],[Date]]&lt;(Summary!$B$3-6),1,""))</f>
        <v/>
      </c>
      <c r="B134" s="127">
        <v>46270</v>
      </c>
      <c r="C134" s="16">
        <v>425</v>
      </c>
      <c r="D134" s="16" t="s">
        <v>381</v>
      </c>
      <c r="E134" s="17">
        <v>4221.32</v>
      </c>
      <c r="F134" s="17">
        <v>4120.7700000000004</v>
      </c>
      <c r="G134" s="10" t="str">
        <f>VLOOKUP(Table11[[#This Row],[Store]],'Rates from Tracker'!A:B,2,0)</f>
        <v>Crown Point</v>
      </c>
      <c r="H134" t="str">
        <f>VLOOKUP(D134,'Rates from Tracker'!A:C,3,0)</f>
        <v>Best Pizza LLC</v>
      </c>
      <c r="I134" t="str">
        <f>VLOOKUP(Table11[[#This Row],[Franchisee]],'Rates from Tracker'!C:D,2,0)</f>
        <v>Merullo</v>
      </c>
      <c r="J134" s="10">
        <f>ROUND(IF(Table11[[#This Row],[Location]]="Belmont Market",Table11[[#This Row],[Column2]]*0.01,IF(Table11[[#This Row],[Location]]="Country Club Centre",Table11[[#This Row],[Column2]]*0.01,IF(Table11[[#This Row],[Location]]="Naval Air Station Norfolk",Table11[[#This Row],[Column2]]*0.005,F134*0.02))),2)</f>
        <v>82.42</v>
      </c>
      <c r="K13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34" s="11">
        <f t="shared" si="6"/>
        <v>206.04</v>
      </c>
      <c r="M134" s="10">
        <f t="shared" si="7"/>
        <v>288.45999999999998</v>
      </c>
    </row>
    <row r="135" spans="1:13" x14ac:dyDescent="0.25">
      <c r="A135" s="143" t="str">
        <f>IF(Table11[[#This Row],[Date]]=0,"",IF(Table11[[#This Row],[Date]]&lt;(Summary!$B$3-6),1,""))</f>
        <v/>
      </c>
      <c r="B135" s="127">
        <v>46270</v>
      </c>
      <c r="C135" s="16">
        <v>429</v>
      </c>
      <c r="D135" s="16" t="s">
        <v>587</v>
      </c>
      <c r="E135" s="17">
        <v>2273.46</v>
      </c>
      <c r="F135" s="17">
        <v>2148.36</v>
      </c>
      <c r="G135" s="10" t="str">
        <f>VLOOKUP(Table11[[#This Row],[Store]],'Rates from Tracker'!A:B,2,0)</f>
        <v>South Jordan</v>
      </c>
      <c r="H135" t="str">
        <f>VLOOKUP(D135,'Rates from Tracker'!A:C,3,0)</f>
        <v>SSR Holdings LLC</v>
      </c>
      <c r="I135" t="str">
        <f>VLOOKUP(Table11[[#This Row],[Franchisee]],'Rates from Tracker'!C:D,2,0)</f>
        <v>Bikram</v>
      </c>
      <c r="J135" s="10">
        <f>ROUND(IF(Table11[[#This Row],[Location]]="Belmont Market",Table11[[#This Row],[Column2]]*0.01,IF(Table11[[#This Row],[Location]]="Country Club Centre",Table11[[#This Row],[Column2]]*0.01,IF(Table11[[#This Row],[Location]]="Naval Air Station Norfolk",Table11[[#This Row],[Column2]]*0.005,F135*0.02))),2)</f>
        <v>42.97</v>
      </c>
      <c r="K13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35" s="11">
        <f t="shared" si="6"/>
        <v>21.48</v>
      </c>
      <c r="M135" s="10">
        <f t="shared" si="7"/>
        <v>64.45</v>
      </c>
    </row>
    <row r="136" spans="1:13" x14ac:dyDescent="0.25">
      <c r="A136" s="143" t="str">
        <f>IF(Table11[[#This Row],[Date]]=0,"",IF(Table11[[#This Row],[Date]]&lt;(Summary!$B$3-6),1,""))</f>
        <v/>
      </c>
      <c r="B136" s="127">
        <v>46270</v>
      </c>
      <c r="C136" s="16">
        <v>433</v>
      </c>
      <c r="D136" s="16" t="s">
        <v>576</v>
      </c>
      <c r="E136" s="17">
        <v>2079.58</v>
      </c>
      <c r="F136" s="17">
        <v>2028.14</v>
      </c>
      <c r="G136" s="10" t="str">
        <f>VLOOKUP(Table11[[#This Row],[Store]],'Rates from Tracker'!A:B,2,0)</f>
        <v>Grants Pass</v>
      </c>
      <c r="H136" t="str">
        <f>VLOOKUP(D136,'Rates from Tracker'!A:C,3,0)</f>
        <v>SSR Holdings LLC</v>
      </c>
      <c r="I136" t="str">
        <f>VLOOKUP(Table11[[#This Row],[Franchisee]],'Rates from Tracker'!C:D,2,0)</f>
        <v>Bikram</v>
      </c>
      <c r="J136" s="10">
        <f>ROUND(IF(Table11[[#This Row],[Location]]="Belmont Market",Table11[[#This Row],[Column2]]*0.01,IF(Table11[[#This Row],[Location]]="Country Club Centre",Table11[[#This Row],[Column2]]*0.01,IF(Table11[[#This Row],[Location]]="Naval Air Station Norfolk",Table11[[#This Row],[Column2]]*0.005,F136*0.02))),2)</f>
        <v>40.56</v>
      </c>
      <c r="K13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36" s="11">
        <f t="shared" si="6"/>
        <v>20.28</v>
      </c>
      <c r="M136" s="10">
        <f t="shared" si="7"/>
        <v>60.84</v>
      </c>
    </row>
    <row r="137" spans="1:13" x14ac:dyDescent="0.25">
      <c r="A137" s="143" t="str">
        <f>IF(Table11[[#This Row],[Date]]=0,"",IF(Table11[[#This Row],[Date]]&lt;(Summary!$B$3-6),1,""))</f>
        <v/>
      </c>
      <c r="B137" s="127">
        <v>46270</v>
      </c>
      <c r="C137" s="16">
        <v>452</v>
      </c>
      <c r="D137" s="16" t="s">
        <v>346</v>
      </c>
      <c r="E137" s="17">
        <v>1709.59</v>
      </c>
      <c r="F137" s="17">
        <v>1680.46</v>
      </c>
      <c r="G137" s="10" t="str">
        <f>VLOOKUP(Table11[[#This Row],[Store]],'Rates from Tracker'!A:B,2,0)</f>
        <v>Mobile</v>
      </c>
      <c r="H137" t="str">
        <f>VLOOKUP(D137,'Rates from Tracker'!A:C,3,0)</f>
        <v>MAA MELDI 3980 Inc</v>
      </c>
      <c r="I137" t="str">
        <f>VLOOKUP(Table11[[#This Row],[Franchisee]],'Rates from Tracker'!C:D,2,0)</f>
        <v>Neal Patel</v>
      </c>
      <c r="J137" s="10">
        <f>ROUND(IF(Table11[[#This Row],[Location]]="Belmont Market",Table11[[#This Row],[Column2]]*0.01,IF(Table11[[#This Row],[Location]]="Country Club Centre",Table11[[#This Row],[Column2]]*0.01,IF(Table11[[#This Row],[Location]]="Naval Air Station Norfolk",Table11[[#This Row],[Column2]]*0.005,F137*0.02))),2)</f>
        <v>33.61</v>
      </c>
      <c r="K13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37" s="11">
        <f t="shared" si="6"/>
        <v>16.8</v>
      </c>
      <c r="M137" s="10">
        <f t="shared" si="7"/>
        <v>50.41</v>
      </c>
    </row>
    <row r="138" spans="1:13" x14ac:dyDescent="0.25">
      <c r="A138" s="143" t="str">
        <f>IF(Table11[[#This Row],[Date]]=0,"",IF(Table11[[#This Row],[Date]]&lt;(Summary!$B$3-6),1,""))</f>
        <v/>
      </c>
      <c r="B138" s="127">
        <v>46270</v>
      </c>
      <c r="C138" s="16">
        <v>478</v>
      </c>
      <c r="D138" s="16" t="s">
        <v>581</v>
      </c>
      <c r="E138" s="17">
        <v>1705.37</v>
      </c>
      <c r="F138" s="17">
        <v>1659.6</v>
      </c>
      <c r="G138" s="10" t="str">
        <f>VLOOKUP(Table11[[#This Row],[Store]],'Rates from Tracker'!A:B,2,0)</f>
        <v>Pocatello</v>
      </c>
      <c r="H138" t="str">
        <f>VLOOKUP(D138,'Rates from Tracker'!A:C,3,0)</f>
        <v>SSR Holdings LLC</v>
      </c>
      <c r="I138" t="str">
        <f>VLOOKUP(Table11[[#This Row],[Franchisee]],'Rates from Tracker'!C:D,2,0)</f>
        <v>Bikram</v>
      </c>
      <c r="J138" s="10">
        <f>ROUND(IF(Table11[[#This Row],[Location]]="Belmont Market",Table11[[#This Row],[Column2]]*0.01,IF(Table11[[#This Row],[Location]]="Country Club Centre",Table11[[#This Row],[Column2]]*0.01,IF(Table11[[#This Row],[Location]]="Naval Air Station Norfolk",Table11[[#This Row],[Column2]]*0.005,F138*0.02))),2)</f>
        <v>33.19</v>
      </c>
      <c r="K13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38" s="11">
        <f t="shared" si="6"/>
        <v>16.600000000000001</v>
      </c>
      <c r="M138" s="10">
        <f t="shared" si="7"/>
        <v>49.79</v>
      </c>
    </row>
    <row r="139" spans="1:13" x14ac:dyDescent="0.25">
      <c r="A139" s="143" t="str">
        <f>IF(Table11[[#This Row],[Date]]=0,"",IF(Table11[[#This Row],[Date]]&lt;(Summary!$B$3-6),1,""))</f>
        <v/>
      </c>
      <c r="B139" s="127">
        <v>46270</v>
      </c>
      <c r="C139" s="16">
        <v>514</v>
      </c>
      <c r="D139" s="16" t="s">
        <v>589</v>
      </c>
      <c r="E139" s="17">
        <v>2386.73</v>
      </c>
      <c r="F139" s="17">
        <v>2306.65</v>
      </c>
      <c r="G139" s="10" t="str">
        <f>VLOOKUP(Table11[[#This Row],[Store]],'Rates from Tracker'!A:B,2,0)</f>
        <v>Spanish Fork</v>
      </c>
      <c r="H139" t="str">
        <f>VLOOKUP(D139,'Rates from Tracker'!A:C,3,0)</f>
        <v>SSR Holdings LLC</v>
      </c>
      <c r="I139" t="str">
        <f>VLOOKUP(Table11[[#This Row],[Franchisee]],'Rates from Tracker'!C:D,2,0)</f>
        <v>Bikram</v>
      </c>
      <c r="J139" s="10">
        <f>ROUND(IF(Table11[[#This Row],[Location]]="Belmont Market",Table11[[#This Row],[Column2]]*0.01,IF(Table11[[#This Row],[Location]]="Country Club Centre",Table11[[#This Row],[Column2]]*0.01,IF(Table11[[#This Row],[Location]]="Naval Air Station Norfolk",Table11[[#This Row],[Column2]]*0.005,F139*0.02))),2)</f>
        <v>46.13</v>
      </c>
      <c r="K13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39" s="11">
        <f t="shared" si="6"/>
        <v>23.07</v>
      </c>
      <c r="M139" s="10">
        <f t="shared" si="7"/>
        <v>69.2</v>
      </c>
    </row>
    <row r="140" spans="1:13" x14ac:dyDescent="0.25">
      <c r="A140" s="143" t="str">
        <f>IF(Table11[[#This Row],[Date]]=0,"",IF(Table11[[#This Row],[Date]]&lt;(Summary!$B$3-6),1,""))</f>
        <v/>
      </c>
      <c r="B140" s="127">
        <v>46270</v>
      </c>
      <c r="C140" s="16">
        <v>515</v>
      </c>
      <c r="D140" s="16" t="s">
        <v>574</v>
      </c>
      <c r="E140" s="17">
        <v>2218.31</v>
      </c>
      <c r="F140" s="17">
        <v>2184.96</v>
      </c>
      <c r="G140" s="10" t="str">
        <f>VLOOKUP(Table11[[#This Row],[Store]],'Rates from Tracker'!A:B,2,0)</f>
        <v>Downtown Boise</v>
      </c>
      <c r="H140" t="str">
        <f>VLOOKUP(D140,'Rates from Tracker'!A:C,3,0)</f>
        <v>SSR Holdings LLC</v>
      </c>
      <c r="I140" t="str">
        <f>VLOOKUP(Table11[[#This Row],[Franchisee]],'Rates from Tracker'!C:D,2,0)</f>
        <v>Bikram</v>
      </c>
      <c r="J140" s="10">
        <f>ROUND(IF(Table11[[#This Row],[Location]]="Belmont Market",Table11[[#This Row],[Column2]]*0.01,IF(Table11[[#This Row],[Location]]="Country Club Centre",Table11[[#This Row],[Column2]]*0.01,IF(Table11[[#This Row],[Location]]="Naval Air Station Norfolk",Table11[[#This Row],[Column2]]*0.005,F140*0.02))),2)</f>
        <v>43.7</v>
      </c>
      <c r="K14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40" s="11">
        <f t="shared" si="6"/>
        <v>21.85</v>
      </c>
      <c r="M140" s="10">
        <f t="shared" si="7"/>
        <v>65.550000000000011</v>
      </c>
    </row>
    <row r="141" spans="1:13" x14ac:dyDescent="0.25">
      <c r="A141" s="143" t="str">
        <f>IF(Table11[[#This Row],[Date]]=0,"",IF(Table11[[#This Row],[Date]]&lt;(Summary!$B$3-6),1,""))</f>
        <v/>
      </c>
      <c r="B141" s="127">
        <v>46270</v>
      </c>
      <c r="C141" s="16">
        <v>521</v>
      </c>
      <c r="D141" s="16" t="s">
        <v>573</v>
      </c>
      <c r="E141" s="17">
        <v>1690.2</v>
      </c>
      <c r="F141" s="17">
        <v>1656.62</v>
      </c>
      <c r="G141" s="10" t="str">
        <f>VLOOKUP(Table11[[#This Row],[Store]],'Rates from Tracker'!A:B,2,0)</f>
        <v>Boise Town Square</v>
      </c>
      <c r="H141" t="str">
        <f>VLOOKUP(D141,'Rates from Tracker'!A:C,3,0)</f>
        <v>SSR Holdings LLC</v>
      </c>
      <c r="I141" t="str">
        <f>VLOOKUP(Table11[[#This Row],[Franchisee]],'Rates from Tracker'!C:D,2,0)</f>
        <v>Bikram</v>
      </c>
      <c r="J141" s="10">
        <f>ROUND(IF(Table11[[#This Row],[Location]]="Belmont Market",Table11[[#This Row],[Column2]]*0.01,IF(Table11[[#This Row],[Location]]="Country Club Centre",Table11[[#This Row],[Column2]]*0.01,IF(Table11[[#This Row],[Location]]="Naval Air Station Norfolk",Table11[[#This Row],[Column2]]*0.005,F141*0.02))),2)</f>
        <v>33.130000000000003</v>
      </c>
      <c r="K14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41" s="11">
        <f t="shared" si="6"/>
        <v>16.57</v>
      </c>
      <c r="M141" s="10">
        <f t="shared" si="7"/>
        <v>49.7</v>
      </c>
    </row>
    <row r="142" spans="1:13" x14ac:dyDescent="0.25">
      <c r="A142" s="143" t="str">
        <f>IF(Table11[[#This Row],[Date]]=0,"",IF(Table11[[#This Row],[Date]]&lt;(Summary!$B$3-6),1,""))</f>
        <v/>
      </c>
      <c r="B142" s="127">
        <v>46270</v>
      </c>
      <c r="C142" s="16">
        <v>586</v>
      </c>
      <c r="D142" s="16" t="s">
        <v>453</v>
      </c>
      <c r="E142" s="17">
        <v>4737.72</v>
      </c>
      <c r="F142" s="17">
        <v>4654.1000000000004</v>
      </c>
      <c r="G142" s="10" t="str">
        <f>VLOOKUP(Table11[[#This Row],[Store]],'Rates from Tracker'!A:B,2,0)</f>
        <v>Johnstown</v>
      </c>
      <c r="H142" t="str">
        <f>VLOOKUP(D142,'Rates from Tracker'!A:C,3,0)</f>
        <v>Best Pizza LLC</v>
      </c>
      <c r="I142" t="str">
        <f>VLOOKUP(Table11[[#This Row],[Franchisee]],'Rates from Tracker'!C:D,2,0)</f>
        <v>Merullo</v>
      </c>
      <c r="J142" s="10">
        <f>ROUND(IF(Table11[[#This Row],[Location]]="Belmont Market",Table11[[#This Row],[Column2]]*0.01,IF(Table11[[#This Row],[Location]]="Country Club Centre",Table11[[#This Row],[Column2]]*0.01,IF(Table11[[#This Row],[Location]]="Naval Air Station Norfolk",Table11[[#This Row],[Column2]]*0.005,F142*0.02))),2)</f>
        <v>93.08</v>
      </c>
      <c r="K14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42" s="11">
        <f t="shared" si="6"/>
        <v>232.71</v>
      </c>
      <c r="M142" s="10">
        <f t="shared" si="7"/>
        <v>325.79000000000002</v>
      </c>
    </row>
    <row r="143" spans="1:13" x14ac:dyDescent="0.25">
      <c r="A143" s="143" t="str">
        <f>IF(Table11[[#This Row],[Date]]=0,"",IF(Table11[[#This Row],[Date]]&lt;(Summary!$B$3-6),1,""))</f>
        <v/>
      </c>
      <c r="B143" s="127">
        <v>46270</v>
      </c>
      <c r="C143" s="16">
        <v>605</v>
      </c>
      <c r="D143" s="16" t="s">
        <v>501</v>
      </c>
      <c r="E143" s="17">
        <v>3404.51</v>
      </c>
      <c r="F143" s="17">
        <v>3236.15</v>
      </c>
      <c r="G143" s="10" t="str">
        <f>VLOOKUP(Table11[[#This Row],[Store]],'Rates from Tracker'!A:B,2,0)</f>
        <v>Campus Oaks</v>
      </c>
      <c r="H143" t="str">
        <f>VLOOKUP(D143,'Rates from Tracker'!A:C,3,0)</f>
        <v>Exceed Group Campus Oaks</v>
      </c>
      <c r="I143" t="str">
        <f>VLOOKUP(Table11[[#This Row],[Franchisee]],'Rates from Tracker'!C:D,2,0)</f>
        <v>Chawla</v>
      </c>
      <c r="J143" s="10">
        <f>ROUND(IF(Table11[[#This Row],[Location]]="Belmont Market",Table11[[#This Row],[Column2]]*0.01,IF(Table11[[#This Row],[Location]]="Country Club Centre",Table11[[#This Row],[Column2]]*0.01,IF(Table11[[#This Row],[Location]]="Naval Air Station Norfolk",Table11[[#This Row],[Column2]]*0.005,F143*0.02))),2)</f>
        <v>64.72</v>
      </c>
      <c r="K14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43" s="11">
        <f t="shared" si="6"/>
        <v>161.81</v>
      </c>
      <c r="M143" s="10">
        <f t="shared" si="7"/>
        <v>226.53</v>
      </c>
    </row>
    <row r="144" spans="1:13" x14ac:dyDescent="0.25">
      <c r="A144" s="143" t="str">
        <f>IF(Table11[[#This Row],[Date]]=0,"",IF(Table11[[#This Row],[Date]]&lt;(Summary!$B$3-6),1,""))</f>
        <v/>
      </c>
      <c r="B144" s="127">
        <v>46270</v>
      </c>
      <c r="C144" s="16">
        <v>607</v>
      </c>
      <c r="D144" s="16" t="s">
        <v>481</v>
      </c>
      <c r="E144" s="17">
        <v>4144.79</v>
      </c>
      <c r="F144" s="17">
        <v>4102.42</v>
      </c>
      <c r="G144" s="10" t="str">
        <f>VLOOKUP(Table11[[#This Row],[Store]],'Rates from Tracker'!A:B,2,0)</f>
        <v>Tower</v>
      </c>
      <c r="H144" t="str">
        <f>VLOOKUP(D144,'Rates from Tracker'!A:C,3,0)</f>
        <v>Best Pizza LLC</v>
      </c>
      <c r="I144" t="str">
        <f>VLOOKUP(Table11[[#This Row],[Franchisee]],'Rates from Tracker'!C:D,2,0)</f>
        <v>Merullo</v>
      </c>
      <c r="J144" s="10">
        <f>ROUND(IF(Table11[[#This Row],[Location]]="Belmont Market",Table11[[#This Row],[Column2]]*0.01,IF(Table11[[#This Row],[Location]]="Country Club Centre",Table11[[#This Row],[Column2]]*0.01,IF(Table11[[#This Row],[Location]]="Naval Air Station Norfolk",Table11[[#This Row],[Column2]]*0.005,F144*0.02))),2)</f>
        <v>82.05</v>
      </c>
      <c r="K14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44" s="11">
        <f t="shared" si="6"/>
        <v>205.12</v>
      </c>
      <c r="M144" s="10">
        <f t="shared" si="7"/>
        <v>287.17</v>
      </c>
    </row>
    <row r="145" spans="1:13" x14ac:dyDescent="0.25">
      <c r="A145" s="143" t="str">
        <f>IF(Table11[[#This Row],[Date]]=0,"",IF(Table11[[#This Row],[Date]]&lt;(Summary!$B$3-6),1,""))</f>
        <v/>
      </c>
      <c r="B145" s="127">
        <v>46270</v>
      </c>
      <c r="C145" s="16">
        <v>608</v>
      </c>
      <c r="D145" s="16" t="s">
        <v>488</v>
      </c>
      <c r="E145" s="17">
        <v>4030.74</v>
      </c>
      <c r="F145" s="17">
        <v>3951.92</v>
      </c>
      <c r="G145" s="10" t="str">
        <f>VLOOKUP(Table11[[#This Row],[Store]],'Rates from Tracker'!A:B,2,0)</f>
        <v>Sheridan Parkway</v>
      </c>
      <c r="H145" t="str">
        <f>VLOOKUP(D145,'Rates from Tracker'!A:C,3,0)</f>
        <v>Best Pizza LLC</v>
      </c>
      <c r="I145" t="str">
        <f>VLOOKUP(Table11[[#This Row],[Franchisee]],'Rates from Tracker'!C:D,2,0)</f>
        <v>Merullo</v>
      </c>
      <c r="J145" s="10">
        <f>ROUND(IF(Table11[[#This Row],[Location]]="Belmont Market",Table11[[#This Row],[Column2]]*0.01,IF(Table11[[#This Row],[Location]]="Country Club Centre",Table11[[#This Row],[Column2]]*0.01,IF(Table11[[#This Row],[Location]]="Naval Air Station Norfolk",Table11[[#This Row],[Column2]]*0.005,F145*0.02))),2)</f>
        <v>79.040000000000006</v>
      </c>
      <c r="K14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45" s="11">
        <f t="shared" si="6"/>
        <v>197.6</v>
      </c>
      <c r="M145" s="10">
        <f t="shared" si="7"/>
        <v>276.64</v>
      </c>
    </row>
    <row r="146" spans="1:13" x14ac:dyDescent="0.25">
      <c r="A146" s="143" t="str">
        <f>IF(Table11[[#This Row],[Date]]=0,"",IF(Table11[[#This Row],[Date]]&lt;(Summary!$B$3-6),1,""))</f>
        <v/>
      </c>
      <c r="B146" s="127">
        <v>46270</v>
      </c>
      <c r="C146" s="16">
        <v>616</v>
      </c>
      <c r="D146" s="16" t="s">
        <v>480</v>
      </c>
      <c r="E146" s="17">
        <v>2850.91</v>
      </c>
      <c r="F146" s="17">
        <v>2804.92</v>
      </c>
      <c r="G146" s="10" t="str">
        <f>VLOOKUP(Table11[[#This Row],[Store]],'Rates from Tracker'!A:B,2,0)</f>
        <v>Eureka</v>
      </c>
      <c r="H146" t="str">
        <f>VLOOKUP(D146,'Rates from Tracker'!A:C,3,0)</f>
        <v>Exceed Group Eureka</v>
      </c>
      <c r="I146" t="str">
        <f>VLOOKUP(Table11[[#This Row],[Franchisee]],'Rates from Tracker'!C:D,2,0)</f>
        <v>Chawla</v>
      </c>
      <c r="J146" s="10">
        <f>ROUND(IF(Table11[[#This Row],[Location]]="Belmont Market",Table11[[#This Row],[Column2]]*0.01,IF(Table11[[#This Row],[Location]]="Country Club Centre",Table11[[#This Row],[Column2]]*0.01,IF(Table11[[#This Row],[Location]]="Naval Air Station Norfolk",Table11[[#This Row],[Column2]]*0.005,F146*0.02))),2)</f>
        <v>56.1</v>
      </c>
      <c r="K14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46" s="11">
        <f t="shared" si="6"/>
        <v>140.25</v>
      </c>
      <c r="M146" s="10">
        <f t="shared" si="7"/>
        <v>196.35</v>
      </c>
    </row>
    <row r="147" spans="1:13" x14ac:dyDescent="0.25">
      <c r="A147" s="143" t="str">
        <f>IF(Table11[[#This Row],[Date]]=0,"",IF(Table11[[#This Row],[Date]]&lt;(Summary!$B$3-6),1,""))</f>
        <v/>
      </c>
      <c r="B147" s="127">
        <v>46270</v>
      </c>
      <c r="C147" s="16">
        <v>617</v>
      </c>
      <c r="D147" s="16" t="s">
        <v>494</v>
      </c>
      <c r="E147" s="17">
        <v>2646.77</v>
      </c>
      <c r="F147" s="17">
        <v>2526.11</v>
      </c>
      <c r="G147" s="10" t="str">
        <f>VLOOKUP(Table11[[#This Row],[Store]],'Rates from Tracker'!A:B,2,0)</f>
        <v>Lowry</v>
      </c>
      <c r="H147" t="str">
        <f>VLOOKUP(D147,'Rates from Tracker'!A:C,3,0)</f>
        <v>Best Pizza LLC</v>
      </c>
      <c r="I147" t="str">
        <f>VLOOKUP(Table11[[#This Row],[Franchisee]],'Rates from Tracker'!C:D,2,0)</f>
        <v>Merullo</v>
      </c>
      <c r="J147" s="10">
        <f>ROUND(IF(Table11[[#This Row],[Location]]="Belmont Market",Table11[[#This Row],[Column2]]*0.01,IF(Table11[[#This Row],[Location]]="Country Club Centre",Table11[[#This Row],[Column2]]*0.01,IF(Table11[[#This Row],[Location]]="Naval Air Station Norfolk",Table11[[#This Row],[Column2]]*0.005,F147*0.02))),2)</f>
        <v>50.52</v>
      </c>
      <c r="K14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47" s="11">
        <f t="shared" si="6"/>
        <v>126.31</v>
      </c>
      <c r="M147" s="10">
        <f t="shared" si="7"/>
        <v>176.83</v>
      </c>
    </row>
    <row r="148" spans="1:13" x14ac:dyDescent="0.25">
      <c r="A148" s="143" t="str">
        <f>IF(Table11[[#This Row],[Date]]=0,"",IF(Table11[[#This Row],[Date]]&lt;(Summary!$B$3-6),1,""))</f>
        <v/>
      </c>
      <c r="B148" s="127">
        <v>46270</v>
      </c>
      <c r="C148" s="16">
        <v>648</v>
      </c>
      <c r="D148" s="16" t="s">
        <v>454</v>
      </c>
      <c r="E148" s="17">
        <v>2669.64</v>
      </c>
      <c r="F148" s="17">
        <v>2612.83</v>
      </c>
      <c r="G148" s="10" t="str">
        <f>VLOOKUP(Table11[[#This Row],[Store]],'Rates from Tracker'!A:B,2,0)</f>
        <v>Belmont Market</v>
      </c>
      <c r="H148" t="str">
        <f>VLOOKUP(D148,'Rates from Tracker'!A:C,3,0)</f>
        <v>V.I. Pizza Belmont</v>
      </c>
      <c r="I148" t="str">
        <f>VLOOKUP(Table11[[#This Row],[Franchisee]],'Rates from Tracker'!C:D,2,0)</f>
        <v>Hayden</v>
      </c>
      <c r="J148" s="10">
        <f>ROUND(IF(Table11[[#This Row],[Location]]="Belmont Market",Table11[[#This Row],[Column2]]*0.01,IF(Table11[[#This Row],[Location]]="Country Club Centre",Table11[[#This Row],[Column2]]*0.01,IF(Table11[[#This Row],[Location]]="Naval Air Station Norfolk",Table11[[#This Row],[Column2]]*0.005,F148*0.02))),2)</f>
        <v>26.13</v>
      </c>
      <c r="K14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148" s="11">
        <f t="shared" si="6"/>
        <v>52.26</v>
      </c>
      <c r="M148" s="10">
        <f t="shared" si="7"/>
        <v>78.39</v>
      </c>
    </row>
    <row r="149" spans="1:13" x14ac:dyDescent="0.25">
      <c r="A149" s="143" t="str">
        <f>IF(Table11[[#This Row],[Date]]=0,"",IF(Table11[[#This Row],[Date]]&lt;(Summary!$B$3-6),1,""))</f>
        <v/>
      </c>
      <c r="B149" s="127">
        <v>46270</v>
      </c>
      <c r="C149" s="16">
        <v>659</v>
      </c>
      <c r="D149" s="16" t="s">
        <v>570</v>
      </c>
      <c r="E149" s="17">
        <v>1664.64</v>
      </c>
      <c r="F149" s="17">
        <v>1624.02</v>
      </c>
      <c r="G149" s="10" t="str">
        <f>VLOOKUP(Table11[[#This Row],[Store]],'Rates from Tracker'!A:B,2,0)</f>
        <v>Ammon</v>
      </c>
      <c r="H149" t="str">
        <f>VLOOKUP(D149,'Rates from Tracker'!A:C,3,0)</f>
        <v>SSR Holdings LLC</v>
      </c>
      <c r="I149" t="str">
        <f>VLOOKUP(Table11[[#This Row],[Franchisee]],'Rates from Tracker'!C:D,2,0)</f>
        <v>Bikram</v>
      </c>
      <c r="J149" s="10">
        <f>ROUND(IF(Table11[[#This Row],[Location]]="Belmont Market",Table11[[#This Row],[Column2]]*0.01,IF(Table11[[#This Row],[Location]]="Country Club Centre",Table11[[#This Row],[Column2]]*0.01,IF(Table11[[#This Row],[Location]]="Naval Air Station Norfolk",Table11[[#This Row],[Column2]]*0.005,F149*0.02))),2)</f>
        <v>32.479999999999997</v>
      </c>
      <c r="K14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49" s="11">
        <f t="shared" si="6"/>
        <v>16.239999999999998</v>
      </c>
      <c r="M149" s="10">
        <f t="shared" si="7"/>
        <v>48.72</v>
      </c>
    </row>
    <row r="150" spans="1:13" x14ac:dyDescent="0.25">
      <c r="A150" s="143" t="str">
        <f>IF(Table11[[#This Row],[Date]]=0,"",IF(Table11[[#This Row],[Date]]&lt;(Summary!$B$3-6),1,""))</f>
        <v/>
      </c>
      <c r="B150" s="127">
        <v>46270</v>
      </c>
      <c r="C150" s="16">
        <v>699</v>
      </c>
      <c r="D150" s="16" t="s">
        <v>521</v>
      </c>
      <c r="E150" s="17">
        <v>1844.35</v>
      </c>
      <c r="F150" s="17">
        <v>1828.36</v>
      </c>
      <c r="G150" s="10" t="str">
        <f>VLOOKUP(Table11[[#This Row],[Store]],'Rates from Tracker'!A:B,2,0)</f>
        <v>Grand Junction</v>
      </c>
      <c r="H150" t="str">
        <f>VLOOKUP(D150,'Rates from Tracker'!A:C,3,0)</f>
        <v>Best Pizza LLC</v>
      </c>
      <c r="I150" t="str">
        <f>VLOOKUP(Table11[[#This Row],[Franchisee]],'Rates from Tracker'!C:D,2,0)</f>
        <v>Merullo</v>
      </c>
      <c r="J150" s="10">
        <f>ROUND(IF(Table11[[#This Row],[Location]]="Belmont Market",Table11[[#This Row],[Column2]]*0.01,IF(Table11[[#This Row],[Location]]="Country Club Centre",Table11[[#This Row],[Column2]]*0.01,IF(Table11[[#This Row],[Location]]="Naval Air Station Norfolk",Table11[[#This Row],[Column2]]*0.005,F150*0.02))),2)</f>
        <v>36.57</v>
      </c>
      <c r="K15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50" s="11">
        <f t="shared" si="6"/>
        <v>91.42</v>
      </c>
      <c r="M150" s="10">
        <f t="shared" si="7"/>
        <v>127.99000000000001</v>
      </c>
    </row>
    <row r="151" spans="1:13" x14ac:dyDescent="0.25">
      <c r="A151" s="143" t="str">
        <f>IF(Table11[[#This Row],[Date]]=0,"",IF(Table11[[#This Row],[Date]]&lt;(Summary!$B$3-6),1,""))</f>
        <v/>
      </c>
      <c r="B151" s="127">
        <v>46270</v>
      </c>
      <c r="C151" s="16">
        <v>711</v>
      </c>
      <c r="D151" s="16" t="s">
        <v>526</v>
      </c>
      <c r="E151" s="17">
        <v>1721.51</v>
      </c>
      <c r="F151" s="17">
        <v>1567.24</v>
      </c>
      <c r="G151" s="10" t="str">
        <f>VLOOKUP(Table11[[#This Row],[Store]],'Rates from Tracker'!A:B,2,0)</f>
        <v>Country Club Centre</v>
      </c>
      <c r="H151" t="str">
        <f>VLOOKUP(D151,'Rates from Tracker'!A:C,3,0)</f>
        <v>V.I. Pizza Country Club</v>
      </c>
      <c r="I151" t="str">
        <f>VLOOKUP(Table11[[#This Row],[Franchisee]],'Rates from Tracker'!C:D,2,0)</f>
        <v>Hayden</v>
      </c>
      <c r="J151" s="10">
        <f>ROUND(IF(Table11[[#This Row],[Location]]="Belmont Market",Table11[[#This Row],[Column2]]*0.01,IF(Table11[[#This Row],[Location]]="Country Club Centre",Table11[[#This Row],[Column2]]*0.01,IF(Table11[[#This Row],[Location]]="Naval Air Station Norfolk",Table11[[#This Row],[Column2]]*0.005,F151*0.02))),2)</f>
        <v>15.67</v>
      </c>
      <c r="K15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51" s="11">
        <f t="shared" si="6"/>
        <v>15.67</v>
      </c>
      <c r="M151" s="10">
        <f t="shared" si="7"/>
        <v>31.34</v>
      </c>
    </row>
    <row r="152" spans="1:13" x14ac:dyDescent="0.25">
      <c r="A152" s="143" t="str">
        <f>IF(Table11[[#This Row],[Date]]=0,"",IF(Table11[[#This Row],[Date]]&lt;(Summary!$B$3-6),1,""))</f>
        <v/>
      </c>
      <c r="B152" s="127">
        <v>46270</v>
      </c>
      <c r="C152" s="16">
        <v>722</v>
      </c>
      <c r="D152" s="16" t="s">
        <v>535</v>
      </c>
      <c r="E152" s="17">
        <v>2472.12</v>
      </c>
      <c r="F152" s="17">
        <v>2391.1799999999998</v>
      </c>
      <c r="G152" s="10" t="str">
        <f>VLOOKUP(Table11[[#This Row],[Store]],'Rates from Tracker'!A:B,2,0)</f>
        <v>Creekwalk</v>
      </c>
      <c r="H152" t="str">
        <f>VLOOKUP(D152,'Rates from Tracker'!A:C,3,0)</f>
        <v>Best Pizza LLC</v>
      </c>
      <c r="I152" t="str">
        <f>VLOOKUP(Table11[[#This Row],[Franchisee]],'Rates from Tracker'!C:D,2,0)</f>
        <v>Merullo</v>
      </c>
      <c r="J152" s="10">
        <f>ROUND(IF(Table11[[#This Row],[Location]]="Belmont Market",Table11[[#This Row],[Column2]]*0.01,IF(Table11[[#This Row],[Location]]="Country Club Centre",Table11[[#This Row],[Column2]]*0.01,IF(Table11[[#This Row],[Location]]="Naval Air Station Norfolk",Table11[[#This Row],[Column2]]*0.005,F152*0.02))),2)</f>
        <v>47.82</v>
      </c>
      <c r="K15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152" s="11">
        <f t="shared" si="6"/>
        <v>47.82</v>
      </c>
      <c r="M152" s="10">
        <f t="shared" si="7"/>
        <v>95.64</v>
      </c>
    </row>
    <row r="153" spans="1:13" x14ac:dyDescent="0.25">
      <c r="A153" s="143" t="str">
        <f>IF(Table11[[#This Row],[Date]]=0,"",IF(Table11[[#This Row],[Date]]&lt;(Summary!$B$3-6),1,""))</f>
        <v/>
      </c>
      <c r="B153" s="127">
        <v>46270</v>
      </c>
      <c r="C153" s="16">
        <v>731</v>
      </c>
      <c r="D153" s="16" t="s">
        <v>542</v>
      </c>
      <c r="E153" s="17">
        <v>1056.28</v>
      </c>
      <c r="F153" s="17">
        <v>1054.6500000000001</v>
      </c>
      <c r="G153" s="10" t="str">
        <f>VLOOKUP(Table11[[#This Row],[Store]],'Rates from Tracker'!A:B,2,0)</f>
        <v>Naval Air Station Norfolk</v>
      </c>
      <c r="H153" t="str">
        <f>VLOOKUP(D153,'Rates from Tracker'!A:C,3,0)</f>
        <v>IDAD-5 Inc</v>
      </c>
      <c r="I153" t="str">
        <f>VLOOKUP(Table11[[#This Row],[Franchisee]],'Rates from Tracker'!C:D,2,0)</f>
        <v>Ingenito</v>
      </c>
      <c r="J153" s="10">
        <f>ROUND(IF(Table11[[#This Row],[Location]]="Belmont Market",Table11[[#This Row],[Column2]]*0.01,IF(Table11[[#This Row],[Location]]="Country Club Centre",Table11[[#This Row],[Column2]]*0.01,IF(Table11[[#This Row],[Location]]="Naval Air Station Norfolk",Table11[[#This Row],[Column2]]*0.005,F153*0.02))),2)</f>
        <v>5.27</v>
      </c>
      <c r="K15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153" s="11">
        <f t="shared" si="6"/>
        <v>21.09</v>
      </c>
      <c r="M153" s="10">
        <f t="shared" si="7"/>
        <v>26.36</v>
      </c>
    </row>
    <row r="154" spans="1:13" x14ac:dyDescent="0.25">
      <c r="A154" s="143" t="str">
        <f>IF(Table11[[#This Row],[Date]]=0,"",IF(Table11[[#This Row],[Date]]&lt;(Summary!$B$3-6),1,""))</f>
        <v/>
      </c>
      <c r="B154" s="127">
        <v>46270</v>
      </c>
      <c r="C154" s="16">
        <v>761</v>
      </c>
      <c r="D154" s="16" t="s">
        <v>584</v>
      </c>
      <c r="E154" s="17">
        <v>1727.35</v>
      </c>
      <c r="F154" s="17">
        <v>1707.06</v>
      </c>
      <c r="G154" s="10" t="str">
        <f>VLOOKUP(Table11[[#This Row],[Store]],'Rates from Tracker'!A:B,2,0)</f>
        <v>Roseburg</v>
      </c>
      <c r="H154" t="str">
        <f>VLOOKUP(D154,'Rates from Tracker'!A:C,3,0)</f>
        <v>SSR Holdings LLC</v>
      </c>
      <c r="I154" t="str">
        <f>VLOOKUP(Table11[[#This Row],[Franchisee]],'Rates from Tracker'!C:D,2,0)</f>
        <v>Bikram</v>
      </c>
      <c r="J154" s="10">
        <f>ROUND(IF(Table11[[#This Row],[Location]]="Belmont Market",Table11[[#This Row],[Column2]]*0.01,IF(Table11[[#This Row],[Location]]="Country Club Centre",Table11[[#This Row],[Column2]]*0.01,IF(Table11[[#This Row],[Location]]="Naval Air Station Norfolk",Table11[[#This Row],[Column2]]*0.005,F154*0.02))),2)</f>
        <v>34.14</v>
      </c>
      <c r="K15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54" s="11">
        <f t="shared" si="6"/>
        <v>17.07</v>
      </c>
      <c r="M154" s="10">
        <f t="shared" si="7"/>
        <v>51.21</v>
      </c>
    </row>
    <row r="155" spans="1:13" x14ac:dyDescent="0.25">
      <c r="A155" s="143" t="str">
        <f>IF(Table11[[#This Row],[Date]]=0,"",IF(Table11[[#This Row],[Date]]&lt;(Summary!$B$3-6),1,""))</f>
        <v/>
      </c>
      <c r="B155" s="127">
        <v>46270</v>
      </c>
      <c r="C155" s="16">
        <v>777</v>
      </c>
      <c r="D155" s="16" t="s">
        <v>590</v>
      </c>
      <c r="E155" s="17">
        <v>1975.24</v>
      </c>
      <c r="F155" s="17">
        <v>1927.81</v>
      </c>
      <c r="G155" s="10" t="str">
        <f>VLOOKUP(Table11[[#This Row],[Store]],'Rates from Tracker'!A:B,2,0)</f>
        <v>Springfield-Oregon</v>
      </c>
      <c r="H155" t="str">
        <f>VLOOKUP(D155,'Rates from Tracker'!A:C,3,0)</f>
        <v>SSR Holdings LLC</v>
      </c>
      <c r="I155" t="str">
        <f>VLOOKUP(Table11[[#This Row],[Franchisee]],'Rates from Tracker'!C:D,2,0)</f>
        <v>Bikram</v>
      </c>
      <c r="J155" s="10">
        <f>ROUND(IF(Table11[[#This Row],[Location]]="Belmont Market",Table11[[#This Row],[Column2]]*0.01,IF(Table11[[#This Row],[Location]]="Country Club Centre",Table11[[#This Row],[Column2]]*0.01,IF(Table11[[#This Row],[Location]]="Naval Air Station Norfolk",Table11[[#This Row],[Column2]]*0.005,F155*0.02))),2)</f>
        <v>38.56</v>
      </c>
      <c r="K15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55" s="11">
        <f t="shared" si="6"/>
        <v>19.28</v>
      </c>
      <c r="M155" s="10">
        <f t="shared" si="7"/>
        <v>57.84</v>
      </c>
    </row>
    <row r="156" spans="1:13" x14ac:dyDescent="0.25">
      <c r="A156" s="143" t="str">
        <f>IF(Table11[[#This Row],[Date]]=0,"",IF(Table11[[#This Row],[Date]]&lt;(Summary!$B$3-6),1,""))</f>
        <v/>
      </c>
      <c r="B156" s="127">
        <v>46270</v>
      </c>
      <c r="C156" s="16">
        <v>820</v>
      </c>
      <c r="D156" s="16" t="s">
        <v>538</v>
      </c>
      <c r="E156" s="17">
        <v>3922.04</v>
      </c>
      <c r="F156" s="17">
        <v>3825.72</v>
      </c>
      <c r="G156" s="10" t="str">
        <f>VLOOKUP(Table11[[#This Row],[Store]],'Rates from Tracker'!A:B,2,0)</f>
        <v>Churn Creek</v>
      </c>
      <c r="H156" t="str">
        <f>VLOOKUP(D156,'Rates from Tracker'!A:C,3,0)</f>
        <v>Exceed Group Churn Creek</v>
      </c>
      <c r="I156" t="str">
        <f>VLOOKUP(Table11[[#This Row],[Franchisee]],'Rates from Tracker'!C:D,2,0)</f>
        <v>Chawla</v>
      </c>
      <c r="J156" s="10">
        <f>ROUND(IF(Table11[[#This Row],[Location]]="Belmont Market",Table11[[#This Row],[Column2]]*0.01,IF(Table11[[#This Row],[Location]]="Country Club Centre",Table11[[#This Row],[Column2]]*0.01,IF(Table11[[#This Row],[Location]]="Naval Air Station Norfolk",Table11[[#This Row],[Column2]]*0.005,F156*0.02))),2)</f>
        <v>76.510000000000005</v>
      </c>
      <c r="K15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56" s="11">
        <f t="shared" si="6"/>
        <v>191.29</v>
      </c>
      <c r="M156" s="10">
        <f t="shared" si="7"/>
        <v>267.8</v>
      </c>
    </row>
    <row r="157" spans="1:13" x14ac:dyDescent="0.25">
      <c r="A157" s="143" t="str">
        <f>IF(Table11[[#This Row],[Date]]=0,"",IF(Table11[[#This Row],[Date]]&lt;(Summary!$B$3-6),1,""))</f>
        <v/>
      </c>
      <c r="B157" s="127">
        <v>46269</v>
      </c>
      <c r="C157" s="16">
        <v>21</v>
      </c>
      <c r="D157" s="16" t="s">
        <v>29</v>
      </c>
      <c r="E157" s="17">
        <v>4068.81</v>
      </c>
      <c r="F157" s="17">
        <v>3976.57</v>
      </c>
      <c r="G157" s="10" t="str">
        <f>VLOOKUP(Table11[[#This Row],[Store]],'Rates from Tracker'!A:B,2,0)</f>
        <v>Park Meadows</v>
      </c>
      <c r="H157" t="str">
        <f>VLOOKUP(D157,'Rates from Tracker'!A:C,3,0)</f>
        <v>Best Pizza LLC</v>
      </c>
      <c r="I157" t="str">
        <f>VLOOKUP(Table11[[#This Row],[Franchisee]],'Rates from Tracker'!C:D,2,0)</f>
        <v>Merullo</v>
      </c>
      <c r="J157" s="10">
        <f>ROUND(IF(Table11[[#This Row],[Location]]="Belmont Market",Table11[[#This Row],[Column2]]*0.01,IF(Table11[[#This Row],[Location]]="Country Club Centre",Table11[[#This Row],[Column2]]*0.01,IF(Table11[[#This Row],[Location]]="Naval Air Station Norfolk",Table11[[#This Row],[Column2]]*0.005,F157*0.02))),2)</f>
        <v>79.53</v>
      </c>
      <c r="K15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57" s="11">
        <f t="shared" si="6"/>
        <v>198.83</v>
      </c>
      <c r="M157" s="10">
        <f t="shared" si="7"/>
        <v>278.36</v>
      </c>
    </row>
    <row r="158" spans="1:13" x14ac:dyDescent="0.25">
      <c r="A158" s="143" t="str">
        <f>IF(Table11[[#This Row],[Date]]=0,"",IF(Table11[[#This Row],[Date]]&lt;(Summary!$B$3-6),1,""))</f>
        <v/>
      </c>
      <c r="B158" s="127">
        <v>46269</v>
      </c>
      <c r="C158" s="16">
        <v>47</v>
      </c>
      <c r="D158" s="16" t="s">
        <v>532</v>
      </c>
      <c r="E158" s="17">
        <v>4139.6000000000004</v>
      </c>
      <c r="F158" s="17">
        <v>3928.92</v>
      </c>
      <c r="G158" s="10" t="str">
        <f>VLOOKUP(Table11[[#This Row],[Store]],'Rates from Tracker'!A:B,2,0)</f>
        <v>REDDING</v>
      </c>
      <c r="H158" t="str">
        <f>VLOOKUP(D158,'Rates from Tracker'!A:C,3,0)</f>
        <v>Exceed Group REDDING</v>
      </c>
      <c r="I158" t="str">
        <f>VLOOKUP(Table11[[#This Row],[Franchisee]],'Rates from Tracker'!C:D,2,0)</f>
        <v>Chawla</v>
      </c>
      <c r="J158" s="10">
        <f>ROUND(IF(Table11[[#This Row],[Location]]="Belmont Market",Table11[[#This Row],[Column2]]*0.01,IF(Table11[[#This Row],[Location]]="Country Club Centre",Table11[[#This Row],[Column2]]*0.01,IF(Table11[[#This Row],[Location]]="Naval Air Station Norfolk",Table11[[#This Row],[Column2]]*0.005,F158*0.02))),2)</f>
        <v>78.58</v>
      </c>
      <c r="K15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58" s="11">
        <f t="shared" si="6"/>
        <v>196.45</v>
      </c>
      <c r="M158" s="10">
        <f t="shared" si="7"/>
        <v>275.02999999999997</v>
      </c>
    </row>
    <row r="159" spans="1:13" x14ac:dyDescent="0.25">
      <c r="A159" s="143" t="str">
        <f>IF(Table11[[#This Row],[Date]]=0,"",IF(Table11[[#This Row],[Date]]&lt;(Summary!$B$3-6),1,""))</f>
        <v/>
      </c>
      <c r="B159" s="127">
        <v>46269</v>
      </c>
      <c r="C159" s="16">
        <v>55</v>
      </c>
      <c r="D159" s="16" t="s">
        <v>533</v>
      </c>
      <c r="E159" s="17">
        <v>3633.58</v>
      </c>
      <c r="F159" s="17">
        <v>3579.42</v>
      </c>
      <c r="G159" s="10" t="str">
        <f>VLOOKUP(Table11[[#This Row],[Store]],'Rates from Tracker'!A:B,2,0)</f>
        <v>ROCKLIN</v>
      </c>
      <c r="H159" t="str">
        <f>VLOOKUP(D159,'Rates from Tracker'!A:C,3,0)</f>
        <v>Exceed Group ROCKLIN</v>
      </c>
      <c r="I159" t="str">
        <f>VLOOKUP(Table11[[#This Row],[Franchisee]],'Rates from Tracker'!C:D,2,0)</f>
        <v>Chawla</v>
      </c>
      <c r="J159" s="10">
        <f>ROUND(IF(Table11[[#This Row],[Location]]="Belmont Market",Table11[[#This Row],[Column2]]*0.01,IF(Table11[[#This Row],[Location]]="Country Club Centre",Table11[[#This Row],[Column2]]*0.01,IF(Table11[[#This Row],[Location]]="Naval Air Station Norfolk",Table11[[#This Row],[Column2]]*0.005,F159*0.02))),2)</f>
        <v>71.59</v>
      </c>
      <c r="K15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59" s="11">
        <f t="shared" si="6"/>
        <v>178.97</v>
      </c>
      <c r="M159" s="10">
        <f t="shared" si="7"/>
        <v>250.56</v>
      </c>
    </row>
    <row r="160" spans="1:13" x14ac:dyDescent="0.25">
      <c r="A160" s="143" t="str">
        <f>IF(Table11[[#This Row],[Date]]=0,"",IF(Table11[[#This Row],[Date]]&lt;(Summary!$B$3-6),1,""))</f>
        <v/>
      </c>
      <c r="B160" s="127">
        <v>46269</v>
      </c>
      <c r="C160" s="16">
        <v>56</v>
      </c>
      <c r="D160" s="16" t="s">
        <v>534</v>
      </c>
      <c r="E160" s="17">
        <v>4076.6</v>
      </c>
      <c r="F160" s="17">
        <v>4011.1</v>
      </c>
      <c r="G160" s="10" t="str">
        <f>VLOOKUP(Table11[[#This Row],[Store]],'Rates from Tracker'!A:B,2,0)</f>
        <v>LIVONIA</v>
      </c>
      <c r="H160" t="str">
        <f>VLOOKUP(D160,'Rates from Tracker'!A:C,3,0)</f>
        <v>TSFR Pizza LLC</v>
      </c>
      <c r="I160" t="str">
        <f>VLOOKUP(Table11[[#This Row],[Franchisee]],'Rates from Tracker'!C:D,2,0)</f>
        <v>Schostak</v>
      </c>
      <c r="J160" s="10">
        <f>ROUND(IF(Table11[[#This Row],[Location]]="Belmont Market",Table11[[#This Row],[Column2]]*0.01,IF(Table11[[#This Row],[Location]]="Country Club Centre",Table11[[#This Row],[Column2]]*0.01,IF(Table11[[#This Row],[Location]]="Naval Air Station Norfolk",Table11[[#This Row],[Column2]]*0.005,F160*0.02))),2)</f>
        <v>80.22</v>
      </c>
      <c r="K16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60" s="11">
        <f t="shared" si="6"/>
        <v>200.56</v>
      </c>
      <c r="M160" s="10">
        <f t="shared" si="7"/>
        <v>280.77999999999997</v>
      </c>
    </row>
    <row r="161" spans="1:13" x14ac:dyDescent="0.25">
      <c r="A161" s="143" t="str">
        <f>IF(Table11[[#This Row],[Date]]=0,"",IF(Table11[[#This Row],[Date]]&lt;(Summary!$B$3-6),1,""))</f>
        <v/>
      </c>
      <c r="B161" s="127">
        <v>46269</v>
      </c>
      <c r="C161" s="16">
        <v>77</v>
      </c>
      <c r="D161" s="16" t="s">
        <v>11</v>
      </c>
      <c r="E161" s="17">
        <v>4038.89</v>
      </c>
      <c r="F161" s="17">
        <v>3960.74</v>
      </c>
      <c r="G161" s="10" t="str">
        <f>VLOOKUP(Table11[[#This Row],[Store]],'Rates from Tracker'!A:B,2,0)</f>
        <v>Falcon Landing</v>
      </c>
      <c r="H161" t="str">
        <f>VLOOKUP(D161,'Rates from Tracker'!A:C,3,0)</f>
        <v>Best Pizza LLC</v>
      </c>
      <c r="I161" t="str">
        <f>VLOOKUP(Table11[[#This Row],[Franchisee]],'Rates from Tracker'!C:D,2,0)</f>
        <v>Merullo</v>
      </c>
      <c r="J161" s="10">
        <f>ROUND(IF(Table11[[#This Row],[Location]]="Belmont Market",Table11[[#This Row],[Column2]]*0.01,IF(Table11[[#This Row],[Location]]="Country Club Centre",Table11[[#This Row],[Column2]]*0.01,IF(Table11[[#This Row],[Location]]="Naval Air Station Norfolk",Table11[[#This Row],[Column2]]*0.005,F161*0.02))),2)</f>
        <v>79.209999999999994</v>
      </c>
      <c r="K16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61" s="11">
        <f t="shared" si="6"/>
        <v>198.04</v>
      </c>
      <c r="M161" s="10">
        <f t="shared" si="7"/>
        <v>277.25</v>
      </c>
    </row>
    <row r="162" spans="1:13" x14ac:dyDescent="0.25">
      <c r="A162" s="143" t="str">
        <f>IF(Table11[[#This Row],[Date]]=0,"",IF(Table11[[#This Row],[Date]]&lt;(Summary!$B$3-6),1,""))</f>
        <v/>
      </c>
      <c r="B162" s="127">
        <v>46269</v>
      </c>
      <c r="C162" s="16">
        <v>93</v>
      </c>
      <c r="D162" s="16" t="s">
        <v>5</v>
      </c>
      <c r="E162" s="17">
        <v>4932.43</v>
      </c>
      <c r="F162" s="17">
        <v>4812.6899999999996</v>
      </c>
      <c r="G162" s="10" t="str">
        <f>VLOOKUP(Table11[[#This Row],[Store]],'Rates from Tracker'!A:B,2,0)</f>
        <v>Brighton</v>
      </c>
      <c r="H162" t="str">
        <f>VLOOKUP(D162,'Rates from Tracker'!A:C,3,0)</f>
        <v>TSFR Pizza LLC</v>
      </c>
      <c r="I162" t="str">
        <f>VLOOKUP(Table11[[#This Row],[Franchisee]],'Rates from Tracker'!C:D,2,0)</f>
        <v>Schostak</v>
      </c>
      <c r="J162" s="10">
        <f>ROUND(IF(Table11[[#This Row],[Location]]="Belmont Market",Table11[[#This Row],[Column2]]*0.01,IF(Table11[[#This Row],[Location]]="Country Club Centre",Table11[[#This Row],[Column2]]*0.01,IF(Table11[[#This Row],[Location]]="Naval Air Station Norfolk",Table11[[#This Row],[Column2]]*0.005,F162*0.02))),2)</f>
        <v>96.25</v>
      </c>
      <c r="K16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62" s="11">
        <f t="shared" si="6"/>
        <v>240.63</v>
      </c>
      <c r="M162" s="10">
        <f t="shared" si="7"/>
        <v>336.88</v>
      </c>
    </row>
    <row r="163" spans="1:13" x14ac:dyDescent="0.25">
      <c r="A163" s="143" t="str">
        <f>IF(Table11[[#This Row],[Date]]=0,"",IF(Table11[[#This Row],[Date]]&lt;(Summary!$B$3-6),1,""))</f>
        <v/>
      </c>
      <c r="B163" s="127">
        <v>46269</v>
      </c>
      <c r="C163" s="16">
        <v>94</v>
      </c>
      <c r="D163" s="16" t="s">
        <v>7</v>
      </c>
      <c r="E163" s="17">
        <v>6123.13</v>
      </c>
      <c r="F163" s="17">
        <v>5884.82</v>
      </c>
      <c r="G163" s="10" t="str">
        <f>VLOOKUP(Table11[[#This Row],[Store]],'Rates from Tracker'!A:B,2,0)</f>
        <v>Castle Rock</v>
      </c>
      <c r="H163" t="str">
        <f>VLOOKUP(D163,'Rates from Tracker'!A:C,3,0)</f>
        <v>Best Pizza LLC</v>
      </c>
      <c r="I163" t="str">
        <f>VLOOKUP(Table11[[#This Row],[Franchisee]],'Rates from Tracker'!C:D,2,0)</f>
        <v>Merullo</v>
      </c>
      <c r="J163" s="10">
        <f>ROUND(IF(Table11[[#This Row],[Location]]="Belmont Market",Table11[[#This Row],[Column2]]*0.01,IF(Table11[[#This Row],[Location]]="Country Club Centre",Table11[[#This Row],[Column2]]*0.01,IF(Table11[[#This Row],[Location]]="Naval Air Station Norfolk",Table11[[#This Row],[Column2]]*0.005,F163*0.02))),2)</f>
        <v>117.7</v>
      </c>
      <c r="K16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63" s="11">
        <f t="shared" si="6"/>
        <v>294.24</v>
      </c>
      <c r="M163" s="10">
        <f t="shared" si="7"/>
        <v>411.94</v>
      </c>
    </row>
    <row r="164" spans="1:13" x14ac:dyDescent="0.25">
      <c r="A164" s="143" t="str">
        <f>IF(Table11[[#This Row],[Date]]=0,"",IF(Table11[[#This Row],[Date]]&lt;(Summary!$B$3-6),1,""))</f>
        <v/>
      </c>
      <c r="B164" s="127">
        <v>46269</v>
      </c>
      <c r="C164" s="16">
        <v>100</v>
      </c>
      <c r="D164" s="16" t="s">
        <v>17</v>
      </c>
      <c r="E164" s="17">
        <v>4467.3900000000003</v>
      </c>
      <c r="F164" s="17">
        <v>4324.79</v>
      </c>
      <c r="G164" s="10" t="str">
        <f>VLOOKUP(Table11[[#This Row],[Store]],'Rates from Tracker'!A:B,2,0)</f>
        <v>Howe Bout Arden</v>
      </c>
      <c r="H164" t="str">
        <f>VLOOKUP(D164,'Rates from Tracker'!A:C,3,0)</f>
        <v>Exceed Group Howe Bout Arden</v>
      </c>
      <c r="I164" t="str">
        <f>VLOOKUP(Table11[[#This Row],[Franchisee]],'Rates from Tracker'!C:D,2,0)</f>
        <v>Chawla</v>
      </c>
      <c r="J164" s="10">
        <f>ROUND(IF(Table11[[#This Row],[Location]]="Belmont Market",Table11[[#This Row],[Column2]]*0.01,IF(Table11[[#This Row],[Location]]="Country Club Centre",Table11[[#This Row],[Column2]]*0.01,IF(Table11[[#This Row],[Location]]="Naval Air Station Norfolk",Table11[[#This Row],[Column2]]*0.005,F164*0.02))),2)</f>
        <v>86.5</v>
      </c>
      <c r="K16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64" s="11">
        <f t="shared" si="6"/>
        <v>216.24</v>
      </c>
      <c r="M164" s="10">
        <f t="shared" si="7"/>
        <v>302.74</v>
      </c>
    </row>
    <row r="165" spans="1:13" x14ac:dyDescent="0.25">
      <c r="A165" s="143" t="str">
        <f>IF(Table11[[#This Row],[Date]]=0,"",IF(Table11[[#This Row],[Date]]&lt;(Summary!$B$3-6),1,""))</f>
        <v/>
      </c>
      <c r="B165" s="127">
        <v>46269</v>
      </c>
      <c r="C165" s="16">
        <v>126</v>
      </c>
      <c r="D165" s="16" t="s">
        <v>571</v>
      </c>
      <c r="E165" s="17">
        <v>2895.34</v>
      </c>
      <c r="F165" s="17">
        <v>2857.66</v>
      </c>
      <c r="G165" s="10" t="str">
        <f>VLOOKUP(Table11[[#This Row],[Store]],'Rates from Tracker'!A:B,2,0)</f>
        <v>Bend</v>
      </c>
      <c r="H165" t="str">
        <f>VLOOKUP(D165,'Rates from Tracker'!A:C,3,0)</f>
        <v>SSR Holdings LLC</v>
      </c>
      <c r="I165" t="str">
        <f>VLOOKUP(Table11[[#This Row],[Franchisee]],'Rates from Tracker'!C:D,2,0)</f>
        <v>Bikram</v>
      </c>
      <c r="J165" s="10">
        <f>ROUND(IF(Table11[[#This Row],[Location]]="Belmont Market",Table11[[#This Row],[Column2]]*0.01,IF(Table11[[#This Row],[Location]]="Country Club Centre",Table11[[#This Row],[Column2]]*0.01,IF(Table11[[#This Row],[Location]]="Naval Air Station Norfolk",Table11[[#This Row],[Column2]]*0.005,F165*0.02))),2)</f>
        <v>57.15</v>
      </c>
      <c r="K16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65" s="11">
        <f t="shared" si="6"/>
        <v>28.58</v>
      </c>
      <c r="M165" s="10">
        <f t="shared" si="7"/>
        <v>85.72999999999999</v>
      </c>
    </row>
    <row r="166" spans="1:13" x14ac:dyDescent="0.25">
      <c r="A166" s="143" t="str">
        <f>IF(Table11[[#This Row],[Date]]=0,"",IF(Table11[[#This Row],[Date]]&lt;(Summary!$B$3-6),1,""))</f>
        <v/>
      </c>
      <c r="B166" s="127">
        <v>46269</v>
      </c>
      <c r="C166" s="16">
        <v>133</v>
      </c>
      <c r="D166" s="16" t="s">
        <v>38</v>
      </c>
      <c r="E166" s="17">
        <v>3581.44</v>
      </c>
      <c r="F166" s="17">
        <v>3495.41</v>
      </c>
      <c r="G166" s="10" t="str">
        <f>VLOOKUP(Table11[[#This Row],[Store]],'Rates from Tracker'!A:B,2,0)</f>
        <v>Woodhill</v>
      </c>
      <c r="H166" t="str">
        <f>VLOOKUP(D166,'Rates from Tracker'!A:C,3,0)</f>
        <v>Rolling Dough LLC</v>
      </c>
      <c r="I166" t="str">
        <f>VLOOKUP(Table11[[#This Row],[Franchisee]],'Rates from Tracker'!C:D,2,0)</f>
        <v>Connolly</v>
      </c>
      <c r="J166" s="10">
        <f>ROUND(IF(Table11[[#This Row],[Location]]="Belmont Market",Table11[[#This Row],[Column2]]*0.01,IF(Table11[[#This Row],[Location]]="Country Club Centre",Table11[[#This Row],[Column2]]*0.01,IF(Table11[[#This Row],[Location]]="Naval Air Station Norfolk",Table11[[#This Row],[Column2]]*0.005,F166*0.02))),2)</f>
        <v>69.91</v>
      </c>
      <c r="K16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66" s="11">
        <f t="shared" si="6"/>
        <v>174.77</v>
      </c>
      <c r="M166" s="10">
        <f t="shared" si="7"/>
        <v>244.68</v>
      </c>
    </row>
    <row r="167" spans="1:13" x14ac:dyDescent="0.25">
      <c r="A167" s="143" t="str">
        <f>IF(Table11[[#This Row],[Date]]=0,"",IF(Table11[[#This Row],[Date]]&lt;(Summary!$B$3-6),1,""))</f>
        <v/>
      </c>
      <c r="B167" s="127">
        <v>46269</v>
      </c>
      <c r="C167" s="16">
        <v>149</v>
      </c>
      <c r="D167" s="16" t="s">
        <v>36</v>
      </c>
      <c r="E167" s="17">
        <v>2496.13</v>
      </c>
      <c r="F167" s="17">
        <v>2447.59</v>
      </c>
      <c r="G167" s="10" t="str">
        <f>VLOOKUP(Table11[[#This Row],[Store]],'Rates from Tracker'!A:B,2,0)</f>
        <v>Westwood Plaza</v>
      </c>
      <c r="H167" t="str">
        <f>VLOOKUP(D167,'Rates from Tracker'!A:C,3,0)</f>
        <v>Rolling Dough LLC</v>
      </c>
      <c r="I167" t="str">
        <f>VLOOKUP(Table11[[#This Row],[Franchisee]],'Rates from Tracker'!C:D,2,0)</f>
        <v>Connolly</v>
      </c>
      <c r="J167" s="10">
        <f>ROUND(IF(Table11[[#This Row],[Location]]="Belmont Market",Table11[[#This Row],[Column2]]*0.01,IF(Table11[[#This Row],[Location]]="Country Club Centre",Table11[[#This Row],[Column2]]*0.01,IF(Table11[[#This Row],[Location]]="Naval Air Station Norfolk",Table11[[#This Row],[Column2]]*0.005,F167*0.02))),2)</f>
        <v>48.95</v>
      </c>
      <c r="K16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67" s="11">
        <f t="shared" si="6"/>
        <v>122.38</v>
      </c>
      <c r="M167" s="10">
        <f t="shared" si="7"/>
        <v>171.32999999999998</v>
      </c>
    </row>
    <row r="168" spans="1:13" x14ac:dyDescent="0.25">
      <c r="A168" s="143" t="str">
        <f>IF(Table11[[#This Row],[Date]]=0,"",IF(Table11[[#This Row],[Date]]&lt;(Summary!$B$3-6),1,""))</f>
        <v/>
      </c>
      <c r="B168" s="127">
        <v>46269</v>
      </c>
      <c r="C168" s="16">
        <v>157</v>
      </c>
      <c r="D168" s="16" t="s">
        <v>15</v>
      </c>
      <c r="E168" s="17">
        <v>3722.46</v>
      </c>
      <c r="F168" s="17">
        <v>3653.92</v>
      </c>
      <c r="G168" s="10" t="str">
        <f>VLOOKUP(Table11[[#This Row],[Store]],'Rates from Tracker'!A:B,2,0)</f>
        <v>Hamburg #6</v>
      </c>
      <c r="H168" t="str">
        <f>VLOOKUP(D168,'Rates from Tracker'!A:C,3,0)</f>
        <v>Cool Dough Development, LLC</v>
      </c>
      <c r="I168" t="str">
        <f>VLOOKUP(Table11[[#This Row],[Franchisee]],'Rates from Tracker'!C:D,2,0)</f>
        <v>Denning</v>
      </c>
      <c r="J168" s="10">
        <f>ROUND(IF(Table11[[#This Row],[Location]]="Belmont Market",Table11[[#This Row],[Column2]]*0.01,IF(Table11[[#This Row],[Location]]="Country Club Centre",Table11[[#This Row],[Column2]]*0.01,IF(Table11[[#This Row],[Location]]="Naval Air Station Norfolk",Table11[[#This Row],[Column2]]*0.005,F168*0.02))),2)</f>
        <v>73.08</v>
      </c>
      <c r="K16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68" s="11">
        <f t="shared" si="6"/>
        <v>182.7</v>
      </c>
      <c r="M168" s="10">
        <f t="shared" si="7"/>
        <v>255.77999999999997</v>
      </c>
    </row>
    <row r="169" spans="1:13" x14ac:dyDescent="0.25">
      <c r="A169" s="143" t="str">
        <f>IF(Table11[[#This Row],[Date]]=0,"",IF(Table11[[#This Row],[Date]]&lt;(Summary!$B$3-6),1,""))</f>
        <v/>
      </c>
      <c r="B169" s="127">
        <v>46269</v>
      </c>
      <c r="C169" s="16">
        <v>158</v>
      </c>
      <c r="D169" s="16" t="s">
        <v>20</v>
      </c>
      <c r="E169" s="17">
        <v>4377.13</v>
      </c>
      <c r="F169" s="17">
        <v>4248.37</v>
      </c>
      <c r="G169" s="10" t="str">
        <f>VLOOKUP(Table11[[#This Row],[Store]],'Rates from Tracker'!A:B,2,0)</f>
        <v>McCaslin Marketplace</v>
      </c>
      <c r="H169" t="str">
        <f>VLOOKUP(D169,'Rates from Tracker'!A:C,3,0)</f>
        <v>Best Pizza LLC</v>
      </c>
      <c r="I169" t="str">
        <f>VLOOKUP(Table11[[#This Row],[Franchisee]],'Rates from Tracker'!C:D,2,0)</f>
        <v>Merullo</v>
      </c>
      <c r="J169" s="10">
        <f>ROUND(IF(Table11[[#This Row],[Location]]="Belmont Market",Table11[[#This Row],[Column2]]*0.01,IF(Table11[[#This Row],[Location]]="Country Club Centre",Table11[[#This Row],[Column2]]*0.01,IF(Table11[[#This Row],[Location]]="Naval Air Station Norfolk",Table11[[#This Row],[Column2]]*0.005,F169*0.02))),2)</f>
        <v>84.97</v>
      </c>
      <c r="K16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69" s="11">
        <f t="shared" si="6"/>
        <v>212.42</v>
      </c>
      <c r="M169" s="10">
        <f t="shared" si="7"/>
        <v>297.39</v>
      </c>
    </row>
    <row r="170" spans="1:13" x14ac:dyDescent="0.25">
      <c r="A170" s="143" t="str">
        <f>IF(Table11[[#This Row],[Date]]=0,"",IF(Table11[[#This Row],[Date]]&lt;(Summary!$B$3-6),1,""))</f>
        <v/>
      </c>
      <c r="B170" s="127">
        <v>46269</v>
      </c>
      <c r="C170" s="16">
        <v>159</v>
      </c>
      <c r="D170" s="16" t="s">
        <v>24</v>
      </c>
      <c r="E170" s="17">
        <v>2395.14</v>
      </c>
      <c r="F170" s="17">
        <v>2346.1799999999998</v>
      </c>
      <c r="G170" s="10" t="str">
        <f>VLOOKUP(Table11[[#This Row],[Store]],'Rates from Tracker'!A:B,2,0)</f>
        <v>North Charleston</v>
      </c>
      <c r="H170" t="str">
        <f>VLOOKUP(D170,'Rates from Tracker'!A:C,3,0)</f>
        <v>Rolling Dough LLC</v>
      </c>
      <c r="I170" t="str">
        <f>VLOOKUP(Table11[[#This Row],[Franchisee]],'Rates from Tracker'!C:D,2,0)</f>
        <v>Connolly</v>
      </c>
      <c r="J170" s="10">
        <f>ROUND(IF(Table11[[#This Row],[Location]]="Belmont Market",Table11[[#This Row],[Column2]]*0.01,IF(Table11[[#This Row],[Location]]="Country Club Centre",Table11[[#This Row],[Column2]]*0.01,IF(Table11[[#This Row],[Location]]="Naval Air Station Norfolk",Table11[[#This Row],[Column2]]*0.005,F170*0.02))),2)</f>
        <v>46.92</v>
      </c>
      <c r="K17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70" s="11">
        <f t="shared" si="6"/>
        <v>117.31</v>
      </c>
      <c r="M170" s="10">
        <f t="shared" si="7"/>
        <v>164.23000000000002</v>
      </c>
    </row>
    <row r="171" spans="1:13" x14ac:dyDescent="0.25">
      <c r="A171" s="143" t="str">
        <f>IF(Table11[[#This Row],[Date]]=0,"",IF(Table11[[#This Row],[Date]]&lt;(Summary!$B$3-6),1,""))</f>
        <v/>
      </c>
      <c r="B171" s="127">
        <v>46269</v>
      </c>
      <c r="C171" s="16">
        <v>161</v>
      </c>
      <c r="D171" s="16" t="s">
        <v>10</v>
      </c>
      <c r="E171" s="17">
        <v>5435.78</v>
      </c>
      <c r="F171" s="17">
        <v>5267.76</v>
      </c>
      <c r="G171" s="10" t="str">
        <f>VLOOKUP(Table11[[#This Row],[Store]],'Rates from Tracker'!A:B,2,0)</f>
        <v>Chico</v>
      </c>
      <c r="H171" t="str">
        <f>VLOOKUP(D171,'Rates from Tracker'!A:C,3,0)</f>
        <v>Exceed Group Chico</v>
      </c>
      <c r="I171" t="str">
        <f>VLOOKUP(Table11[[#This Row],[Franchisee]],'Rates from Tracker'!C:D,2,0)</f>
        <v>Chawla</v>
      </c>
      <c r="J171" s="10">
        <f>ROUND(IF(Table11[[#This Row],[Location]]="Belmont Market",Table11[[#This Row],[Column2]]*0.01,IF(Table11[[#This Row],[Location]]="Country Club Centre",Table11[[#This Row],[Column2]]*0.01,IF(Table11[[#This Row],[Location]]="Naval Air Station Norfolk",Table11[[#This Row],[Column2]]*0.005,F171*0.02))),2)</f>
        <v>105.36</v>
      </c>
      <c r="K17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71" s="11">
        <f t="shared" si="6"/>
        <v>263.39</v>
      </c>
      <c r="M171" s="10">
        <f t="shared" si="7"/>
        <v>368.75</v>
      </c>
    </row>
    <row r="172" spans="1:13" x14ac:dyDescent="0.25">
      <c r="A172" s="143" t="str">
        <f>IF(Table11[[#This Row],[Date]]=0,"",IF(Table11[[#This Row],[Date]]&lt;(Summary!$B$3-6),1,""))</f>
        <v/>
      </c>
      <c r="B172" s="127">
        <v>46269</v>
      </c>
      <c r="C172" s="16">
        <v>163</v>
      </c>
      <c r="D172" s="16" t="s">
        <v>13</v>
      </c>
      <c r="E172" s="17">
        <v>6595.53</v>
      </c>
      <c r="F172" s="17">
        <v>6354.58</v>
      </c>
      <c r="G172" s="10" t="str">
        <f>VLOOKUP(Table11[[#This Row],[Store]],'Rates from Tracker'!A:B,2,0)</f>
        <v>Forest Trace</v>
      </c>
      <c r="H172" t="str">
        <f>VLOOKUP(D172,'Rates from Tracker'!A:C,3,0)</f>
        <v>Best Pizza LLC</v>
      </c>
      <c r="I172" t="str">
        <f>VLOOKUP(Table11[[#This Row],[Franchisee]],'Rates from Tracker'!C:D,2,0)</f>
        <v>Merullo</v>
      </c>
      <c r="J172" s="10">
        <f>ROUND(IF(Table11[[#This Row],[Location]]="Belmont Market",Table11[[#This Row],[Column2]]*0.01,IF(Table11[[#This Row],[Location]]="Country Club Centre",Table11[[#This Row],[Column2]]*0.01,IF(Table11[[#This Row],[Location]]="Naval Air Station Norfolk",Table11[[#This Row],[Column2]]*0.005,F172*0.02))),2)</f>
        <v>127.09</v>
      </c>
      <c r="K17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72" s="11">
        <f t="shared" si="6"/>
        <v>317.73</v>
      </c>
      <c r="M172" s="10">
        <f t="shared" si="7"/>
        <v>444.82000000000005</v>
      </c>
    </row>
    <row r="173" spans="1:13" x14ac:dyDescent="0.25">
      <c r="A173" s="143" t="str">
        <f>IF(Table11[[#This Row],[Date]]=0,"",IF(Table11[[#This Row],[Date]]&lt;(Summary!$B$3-6),1,""))</f>
        <v/>
      </c>
      <c r="B173" s="127">
        <v>46269</v>
      </c>
      <c r="C173" s="16">
        <v>166</v>
      </c>
      <c r="D173" s="16" t="s">
        <v>8</v>
      </c>
      <c r="E173" s="17">
        <v>4715.29</v>
      </c>
      <c r="F173" s="17">
        <v>4682.76</v>
      </c>
      <c r="G173" s="10" t="str">
        <f>VLOOKUP(Table11[[#This Row],[Store]],'Rates from Tracker'!A:B,2,0)</f>
        <v>Centre Avenue</v>
      </c>
      <c r="H173" t="str">
        <f>VLOOKUP(D173,'Rates from Tracker'!A:C,3,0)</f>
        <v>Best Pizza LLC</v>
      </c>
      <c r="I173" t="str">
        <f>VLOOKUP(Table11[[#This Row],[Franchisee]],'Rates from Tracker'!C:D,2,0)</f>
        <v>Merullo</v>
      </c>
      <c r="J173" s="10">
        <f>ROUND(IF(Table11[[#This Row],[Location]]="Belmont Market",Table11[[#This Row],[Column2]]*0.01,IF(Table11[[#This Row],[Location]]="Country Club Centre",Table11[[#This Row],[Column2]]*0.01,IF(Table11[[#This Row],[Location]]="Naval Air Station Norfolk",Table11[[#This Row],[Column2]]*0.005,F173*0.02))),2)</f>
        <v>93.66</v>
      </c>
      <c r="K17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73" s="11">
        <f t="shared" si="6"/>
        <v>234.14</v>
      </c>
      <c r="M173" s="10">
        <f t="shared" si="7"/>
        <v>327.79999999999995</v>
      </c>
    </row>
    <row r="174" spans="1:13" x14ac:dyDescent="0.25">
      <c r="A174" s="143" t="str">
        <f>IF(Table11[[#This Row],[Date]]=0,"",IF(Table11[[#This Row],[Date]]&lt;(Summary!$B$3-6),1,""))</f>
        <v/>
      </c>
      <c r="B174" s="127">
        <v>46269</v>
      </c>
      <c r="C174" s="16">
        <v>172</v>
      </c>
      <c r="D174" s="16" t="s">
        <v>579</v>
      </c>
      <c r="E174" s="17">
        <v>3934.08</v>
      </c>
      <c r="F174" s="17">
        <v>3867.96</v>
      </c>
      <c r="G174" s="10" t="str">
        <f>VLOOKUP(Table11[[#This Row],[Store]],'Rates from Tracker'!A:B,2,0)</f>
        <v>Oakway</v>
      </c>
      <c r="H174" t="str">
        <f>VLOOKUP(D174,'Rates from Tracker'!A:C,3,0)</f>
        <v>SSR Holdings LLC</v>
      </c>
      <c r="I174" t="str">
        <f>VLOOKUP(Table11[[#This Row],[Franchisee]],'Rates from Tracker'!C:D,2,0)</f>
        <v>Bikram</v>
      </c>
      <c r="J174" s="10">
        <f>ROUND(IF(Table11[[#This Row],[Location]]="Belmont Market",Table11[[#This Row],[Column2]]*0.01,IF(Table11[[#This Row],[Location]]="Country Club Centre",Table11[[#This Row],[Column2]]*0.01,IF(Table11[[#This Row],[Location]]="Naval Air Station Norfolk",Table11[[#This Row],[Column2]]*0.005,F174*0.02))),2)</f>
        <v>77.36</v>
      </c>
      <c r="K17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74" s="11">
        <f t="shared" si="6"/>
        <v>38.68</v>
      </c>
      <c r="M174" s="10">
        <f t="shared" si="7"/>
        <v>116.03999999999999</v>
      </c>
    </row>
    <row r="175" spans="1:13" x14ac:dyDescent="0.25">
      <c r="A175" s="143" t="str">
        <f>IF(Table11[[#This Row],[Date]]=0,"",IF(Table11[[#This Row],[Date]]&lt;(Summary!$B$3-6),1,""))</f>
        <v/>
      </c>
      <c r="B175" s="127">
        <v>46269</v>
      </c>
      <c r="C175" s="16">
        <v>204</v>
      </c>
      <c r="D175" s="16" t="s">
        <v>578</v>
      </c>
      <c r="E175" s="17">
        <v>3782.78</v>
      </c>
      <c r="F175" s="17">
        <v>3720.28</v>
      </c>
      <c r="G175" s="10" t="str">
        <f>VLOOKUP(Table11[[#This Row],[Store]],'Rates from Tracker'!A:B,2,0)</f>
        <v>North Medford</v>
      </c>
      <c r="H175" t="str">
        <f>VLOOKUP(D175,'Rates from Tracker'!A:C,3,0)</f>
        <v>SSR Holdings LLC</v>
      </c>
      <c r="I175" t="str">
        <f>VLOOKUP(Table11[[#This Row],[Franchisee]],'Rates from Tracker'!C:D,2,0)</f>
        <v>Bikram</v>
      </c>
      <c r="J175" s="10">
        <f>ROUND(IF(Table11[[#This Row],[Location]]="Belmont Market",Table11[[#This Row],[Column2]]*0.01,IF(Table11[[#This Row],[Location]]="Country Club Centre",Table11[[#This Row],[Column2]]*0.01,IF(Table11[[#This Row],[Location]]="Naval Air Station Norfolk",Table11[[#This Row],[Column2]]*0.005,F175*0.02))),2)</f>
        <v>74.41</v>
      </c>
      <c r="K17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75" s="11">
        <f t="shared" si="6"/>
        <v>37.200000000000003</v>
      </c>
      <c r="M175" s="10">
        <f t="shared" si="7"/>
        <v>111.61</v>
      </c>
    </row>
    <row r="176" spans="1:13" x14ac:dyDescent="0.25">
      <c r="A176" s="143" t="str">
        <f>IF(Table11[[#This Row],[Date]]=0,"",IF(Table11[[#This Row],[Date]]&lt;(Summary!$B$3-6),1,""))</f>
        <v/>
      </c>
      <c r="B176" s="127">
        <v>46269</v>
      </c>
      <c r="C176" s="16">
        <v>210</v>
      </c>
      <c r="D176" s="16" t="s">
        <v>586</v>
      </c>
      <c r="E176" s="17">
        <v>3176.16</v>
      </c>
      <c r="F176" s="17">
        <v>3060.08</v>
      </c>
      <c r="G176" s="10" t="str">
        <f>VLOOKUP(Table11[[#This Row],[Store]],'Rates from Tracker'!A:B,2,0)</f>
        <v>South Eugene</v>
      </c>
      <c r="H176" t="str">
        <f>VLOOKUP(D176,'Rates from Tracker'!A:C,3,0)</f>
        <v>SSR Holdings LLC</v>
      </c>
      <c r="I176" t="str">
        <f>VLOOKUP(Table11[[#This Row],[Franchisee]],'Rates from Tracker'!C:D,2,0)</f>
        <v>Bikram</v>
      </c>
      <c r="J176" s="10">
        <f>ROUND(IF(Table11[[#This Row],[Location]]="Belmont Market",Table11[[#This Row],[Column2]]*0.01,IF(Table11[[#This Row],[Location]]="Country Club Centre",Table11[[#This Row],[Column2]]*0.01,IF(Table11[[#This Row],[Location]]="Naval Air Station Norfolk",Table11[[#This Row],[Column2]]*0.005,F176*0.02))),2)</f>
        <v>61.2</v>
      </c>
      <c r="K17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76" s="11">
        <f t="shared" si="6"/>
        <v>30.6</v>
      </c>
      <c r="M176" s="10">
        <f t="shared" si="7"/>
        <v>91.800000000000011</v>
      </c>
    </row>
    <row r="177" spans="1:13" x14ac:dyDescent="0.25">
      <c r="A177" s="143" t="str">
        <f>IF(Table11[[#This Row],[Date]]=0,"",IF(Table11[[#This Row],[Date]]&lt;(Summary!$B$3-6),1,""))</f>
        <v/>
      </c>
      <c r="B177" s="127">
        <v>46269</v>
      </c>
      <c r="C177" s="16">
        <v>212</v>
      </c>
      <c r="D177" s="16" t="s">
        <v>39</v>
      </c>
      <c r="E177" s="17">
        <v>3646.51</v>
      </c>
      <c r="F177" s="17">
        <v>3556.32</v>
      </c>
      <c r="G177" s="10" t="str">
        <f>VLOOKUP(Table11[[#This Row],[Store]],'Rates from Tracker'!A:B,2,0)</f>
        <v>Woodland</v>
      </c>
      <c r="H177" t="str">
        <f>VLOOKUP(D177,'Rates from Tracker'!A:C,3,0)</f>
        <v>Exceed Group Woodland</v>
      </c>
      <c r="I177" t="str">
        <f>VLOOKUP(Table11[[#This Row],[Franchisee]],'Rates from Tracker'!C:D,2,0)</f>
        <v>Chawla</v>
      </c>
      <c r="J177" s="10">
        <f>ROUND(IF(Table11[[#This Row],[Location]]="Belmont Market",Table11[[#This Row],[Column2]]*0.01,IF(Table11[[#This Row],[Location]]="Country Club Centre",Table11[[#This Row],[Column2]]*0.01,IF(Table11[[#This Row],[Location]]="Naval Air Station Norfolk",Table11[[#This Row],[Column2]]*0.005,F177*0.02))),2)</f>
        <v>71.13</v>
      </c>
      <c r="K17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77" s="11">
        <f t="shared" si="6"/>
        <v>177.82</v>
      </c>
      <c r="M177" s="10">
        <f t="shared" si="7"/>
        <v>248.95</v>
      </c>
    </row>
    <row r="178" spans="1:13" x14ac:dyDescent="0.25">
      <c r="A178" s="143" t="str">
        <f>IF(Table11[[#This Row],[Date]]=0,"",IF(Table11[[#This Row],[Date]]&lt;(Summary!$B$3-6),1,""))</f>
        <v/>
      </c>
      <c r="B178" s="127">
        <v>46269</v>
      </c>
      <c r="C178" s="16">
        <v>216</v>
      </c>
      <c r="D178" s="16" t="s">
        <v>23</v>
      </c>
      <c r="E178" s="17">
        <v>3728.05</v>
      </c>
      <c r="F178" s="17">
        <v>3613.06</v>
      </c>
      <c r="G178" s="10" t="str">
        <f>VLOOKUP(Table11[[#This Row],[Store]],'Rates from Tracker'!A:B,2,0)</f>
        <v>NE Columbia</v>
      </c>
      <c r="H178" t="str">
        <f>VLOOKUP(D178,'Rates from Tracker'!A:C,3,0)</f>
        <v>Rolling Dough LLC</v>
      </c>
      <c r="I178" t="str">
        <f>VLOOKUP(Table11[[#This Row],[Franchisee]],'Rates from Tracker'!C:D,2,0)</f>
        <v>Connolly</v>
      </c>
      <c r="J178" s="10">
        <f>ROUND(IF(Table11[[#This Row],[Location]]="Belmont Market",Table11[[#This Row],[Column2]]*0.01,IF(Table11[[#This Row],[Location]]="Country Club Centre",Table11[[#This Row],[Column2]]*0.01,IF(Table11[[#This Row],[Location]]="Naval Air Station Norfolk",Table11[[#This Row],[Column2]]*0.005,F178*0.02))),2)</f>
        <v>72.260000000000005</v>
      </c>
      <c r="K17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78" s="11">
        <f t="shared" si="6"/>
        <v>180.65</v>
      </c>
      <c r="M178" s="10">
        <f t="shared" si="7"/>
        <v>252.91000000000003</v>
      </c>
    </row>
    <row r="179" spans="1:13" x14ac:dyDescent="0.25">
      <c r="A179" s="143" t="str">
        <f>IF(Table11[[#This Row],[Date]]=0,"",IF(Table11[[#This Row],[Date]]&lt;(Summary!$B$3-6),1,""))</f>
        <v/>
      </c>
      <c r="B179" s="127">
        <v>46269</v>
      </c>
      <c r="C179" s="16">
        <v>228</v>
      </c>
      <c r="D179" s="16" t="s">
        <v>131</v>
      </c>
      <c r="E179" s="17">
        <v>1384.25</v>
      </c>
      <c r="F179" s="17">
        <v>1312.89</v>
      </c>
      <c r="G179" s="10" t="str">
        <f>VLOOKUP(Table11[[#This Row],[Store]],'Rates from Tracker'!A:B,2,0)</f>
        <v>Auburn Village</v>
      </c>
      <c r="H179" t="str">
        <f>VLOOKUP(D179,'Rates from Tracker'!A:C,3,0)</f>
        <v>Exceed Group Auburn Village</v>
      </c>
      <c r="I179" t="str">
        <f>VLOOKUP(Table11[[#This Row],[Franchisee]],'Rates from Tracker'!C:D,2,0)</f>
        <v>Chawla</v>
      </c>
      <c r="J179" s="10">
        <f>ROUND(IF(Table11[[#This Row],[Location]]="Belmont Market",Table11[[#This Row],[Column2]]*0.01,IF(Table11[[#This Row],[Location]]="Country Club Centre",Table11[[#This Row],[Column2]]*0.01,IF(Table11[[#This Row],[Location]]="Naval Air Station Norfolk",Table11[[#This Row],[Column2]]*0.005,F179*0.02))),2)</f>
        <v>26.26</v>
      </c>
      <c r="K17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79" s="11">
        <f t="shared" si="6"/>
        <v>65.64</v>
      </c>
      <c r="M179" s="10">
        <f t="shared" si="7"/>
        <v>91.9</v>
      </c>
    </row>
    <row r="180" spans="1:13" x14ac:dyDescent="0.25">
      <c r="A180" s="143" t="str">
        <f>IF(Table11[[#This Row],[Date]]=0,"",IF(Table11[[#This Row],[Date]]&lt;(Summary!$B$3-6),1,""))</f>
        <v/>
      </c>
      <c r="B180" s="127">
        <v>46269</v>
      </c>
      <c r="C180" s="16">
        <v>231</v>
      </c>
      <c r="D180" s="16" t="s">
        <v>133</v>
      </c>
      <c r="E180" s="17">
        <v>3807.16</v>
      </c>
      <c r="F180" s="17">
        <v>3759.91</v>
      </c>
      <c r="G180" s="10" t="str">
        <f>VLOOKUP(Table11[[#This Row],[Store]],'Rates from Tracker'!A:B,2,0)</f>
        <v>Kennesaw</v>
      </c>
      <c r="H180" t="str">
        <f>VLOOKUP(D180,'Rates from Tracker'!A:C,3,0)</f>
        <v>Southern Pie LLC</v>
      </c>
      <c r="I180" t="str">
        <f>VLOOKUP(Table11[[#This Row],[Franchisee]],'Rates from Tracker'!C:D,2,0)</f>
        <v>Hill/Hayden</v>
      </c>
      <c r="J180" s="10">
        <f>ROUND(IF(Table11[[#This Row],[Location]]="Belmont Market",Table11[[#This Row],[Column2]]*0.01,IF(Table11[[#This Row],[Location]]="Country Club Centre",Table11[[#This Row],[Column2]]*0.01,IF(Table11[[#This Row],[Location]]="Naval Air Station Norfolk",Table11[[#This Row],[Column2]]*0.005,F180*0.02))),2)</f>
        <v>75.2</v>
      </c>
      <c r="K18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80" s="11">
        <f t="shared" si="6"/>
        <v>188</v>
      </c>
      <c r="M180" s="10">
        <f t="shared" si="7"/>
        <v>263.2</v>
      </c>
    </row>
    <row r="181" spans="1:13" x14ac:dyDescent="0.25">
      <c r="A181" s="143" t="str">
        <f>IF(Table11[[#This Row],[Date]]=0,"",IF(Table11[[#This Row],[Date]]&lt;(Summary!$B$3-6),1,""))</f>
        <v/>
      </c>
      <c r="B181" s="127">
        <v>46269</v>
      </c>
      <c r="C181" s="16">
        <v>241</v>
      </c>
      <c r="D181" s="16" t="s">
        <v>592</v>
      </c>
      <c r="E181" s="17">
        <v>3372.96</v>
      </c>
      <c r="F181" s="17">
        <v>3195.98</v>
      </c>
      <c r="G181" s="10" t="str">
        <f>VLOOKUP(Table11[[#This Row],[Store]],'Rates from Tracker'!A:B,2,0)</f>
        <v>Woods Cross</v>
      </c>
      <c r="H181" t="str">
        <f>VLOOKUP(D181,'Rates from Tracker'!A:C,3,0)</f>
        <v>SSR Holdings LLC</v>
      </c>
      <c r="I181" t="str">
        <f>VLOOKUP(Table11[[#This Row],[Franchisee]],'Rates from Tracker'!C:D,2,0)</f>
        <v>Bikram</v>
      </c>
      <c r="J181" s="10">
        <f>ROUND(IF(Table11[[#This Row],[Location]]="Belmont Market",Table11[[#This Row],[Column2]]*0.01,IF(Table11[[#This Row],[Location]]="Country Club Centre",Table11[[#This Row],[Column2]]*0.01,IF(Table11[[#This Row],[Location]]="Naval Air Station Norfolk",Table11[[#This Row],[Column2]]*0.005,F181*0.02))),2)</f>
        <v>63.92</v>
      </c>
      <c r="K18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81" s="11">
        <f t="shared" si="6"/>
        <v>31.96</v>
      </c>
      <c r="M181" s="10">
        <f t="shared" si="7"/>
        <v>95.88</v>
      </c>
    </row>
    <row r="182" spans="1:13" x14ac:dyDescent="0.25">
      <c r="A182" s="143" t="str">
        <f>IF(Table11[[#This Row],[Date]]=0,"",IF(Table11[[#This Row],[Date]]&lt;(Summary!$B$3-6),1,""))</f>
        <v/>
      </c>
      <c r="B182" s="127">
        <v>46269</v>
      </c>
      <c r="C182" s="16">
        <v>244</v>
      </c>
      <c r="D182" s="16" t="s">
        <v>155</v>
      </c>
      <c r="E182" s="17">
        <v>2466</v>
      </c>
      <c r="F182" s="17">
        <v>2380.94</v>
      </c>
      <c r="G182" s="10" t="str">
        <f>VLOOKUP(Table11[[#This Row],[Store]],'Rates from Tracker'!A:B,2,0)</f>
        <v>Redfield Promenade</v>
      </c>
      <c r="H182" t="str">
        <f>VLOOKUP(D182,'Rates from Tracker'!A:C,3,0)</f>
        <v>Exceed Group Redfield Promenade</v>
      </c>
      <c r="I182" t="str">
        <f>VLOOKUP(Table11[[#This Row],[Franchisee]],'Rates from Tracker'!C:D,2,0)</f>
        <v>Chawla</v>
      </c>
      <c r="J182" s="10">
        <f>ROUND(IF(Table11[[#This Row],[Location]]="Belmont Market",Table11[[#This Row],[Column2]]*0.01,IF(Table11[[#This Row],[Location]]="Country Club Centre",Table11[[#This Row],[Column2]]*0.01,IF(Table11[[#This Row],[Location]]="Naval Air Station Norfolk",Table11[[#This Row],[Column2]]*0.005,F182*0.02))),2)</f>
        <v>47.62</v>
      </c>
      <c r="K18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82" s="11">
        <f t="shared" si="6"/>
        <v>119.05</v>
      </c>
      <c r="M182" s="10">
        <f t="shared" si="7"/>
        <v>166.67</v>
      </c>
    </row>
    <row r="183" spans="1:13" x14ac:dyDescent="0.25">
      <c r="A183" s="143" t="str">
        <f>IF(Table11[[#This Row],[Date]]=0,"",IF(Table11[[#This Row],[Date]]&lt;(Summary!$B$3-6),1,""))</f>
        <v/>
      </c>
      <c r="B183" s="127">
        <v>46269</v>
      </c>
      <c r="C183" s="16">
        <v>245</v>
      </c>
      <c r="D183" s="16" t="s">
        <v>157</v>
      </c>
      <c r="E183" s="17">
        <v>2494.5300000000002</v>
      </c>
      <c r="F183" s="17">
        <v>2328.7800000000002</v>
      </c>
      <c r="G183" s="10" t="str">
        <f>VLOOKUP(Table11[[#This Row],[Store]],'Rates from Tracker'!A:B,2,0)</f>
        <v>Evansville #11</v>
      </c>
      <c r="H183" t="str">
        <f>VLOOKUP(D183,'Rates from Tracker'!A:C,3,0)</f>
        <v>Cool Dough Development, LLC</v>
      </c>
      <c r="I183" t="str">
        <f>VLOOKUP(Table11[[#This Row],[Franchisee]],'Rates from Tracker'!C:D,2,0)</f>
        <v>Denning</v>
      </c>
      <c r="J183" s="10">
        <f>ROUND(IF(Table11[[#This Row],[Location]]="Belmont Market",Table11[[#This Row],[Column2]]*0.01,IF(Table11[[#This Row],[Location]]="Country Club Centre",Table11[[#This Row],[Column2]]*0.01,IF(Table11[[#This Row],[Location]]="Naval Air Station Norfolk",Table11[[#This Row],[Column2]]*0.005,F183*0.02))),2)</f>
        <v>46.58</v>
      </c>
      <c r="K18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83" s="11">
        <f t="shared" si="6"/>
        <v>116.44</v>
      </c>
      <c r="M183" s="10">
        <f t="shared" si="7"/>
        <v>163.01999999999998</v>
      </c>
    </row>
    <row r="184" spans="1:13" x14ac:dyDescent="0.25">
      <c r="A184" s="143" t="str">
        <f>IF(Table11[[#This Row],[Date]]=0,"",IF(Table11[[#This Row],[Date]]&lt;(Summary!$B$3-6),1,""))</f>
        <v/>
      </c>
      <c r="B184" s="127">
        <v>46269</v>
      </c>
      <c r="C184" s="16">
        <v>251</v>
      </c>
      <c r="D184" s="16" t="s">
        <v>258</v>
      </c>
      <c r="E184" s="17">
        <v>5084.29</v>
      </c>
      <c r="F184" s="17">
        <v>4952.22</v>
      </c>
      <c r="G184" s="10" t="str">
        <f>VLOOKUP(Table11[[#This Row],[Store]],'Rates from Tracker'!A:B,2,0)</f>
        <v>Westminster Promenade</v>
      </c>
      <c r="H184" t="str">
        <f>VLOOKUP(D184,'Rates from Tracker'!A:C,3,0)</f>
        <v>Best Pizza LLC</v>
      </c>
      <c r="I184" t="str">
        <f>VLOOKUP(Table11[[#This Row],[Franchisee]],'Rates from Tracker'!C:D,2,0)</f>
        <v>Merullo</v>
      </c>
      <c r="J184" s="10">
        <f>ROUND(IF(Table11[[#This Row],[Location]]="Belmont Market",Table11[[#This Row],[Column2]]*0.01,IF(Table11[[#This Row],[Location]]="Country Club Centre",Table11[[#This Row],[Column2]]*0.01,IF(Table11[[#This Row],[Location]]="Naval Air Station Norfolk",Table11[[#This Row],[Column2]]*0.005,F184*0.02))),2)</f>
        <v>99.04</v>
      </c>
      <c r="K18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84" s="11">
        <f t="shared" si="6"/>
        <v>247.61</v>
      </c>
      <c r="M184" s="10">
        <f t="shared" si="7"/>
        <v>346.65000000000003</v>
      </c>
    </row>
    <row r="185" spans="1:13" x14ac:dyDescent="0.25">
      <c r="A185" s="143" t="str">
        <f>IF(Table11[[#This Row],[Date]]=0,"",IF(Table11[[#This Row],[Date]]&lt;(Summary!$B$3-6),1,""))</f>
        <v/>
      </c>
      <c r="B185" s="127">
        <v>46269</v>
      </c>
      <c r="C185" s="16">
        <v>253</v>
      </c>
      <c r="D185" s="16" t="s">
        <v>580</v>
      </c>
      <c r="E185" s="17">
        <v>3305.52</v>
      </c>
      <c r="F185" s="17">
        <v>3215.48</v>
      </c>
      <c r="G185" s="10" t="str">
        <f>VLOOKUP(Table11[[#This Row],[Store]],'Rates from Tracker'!A:B,2,0)</f>
        <v>Park City</v>
      </c>
      <c r="H185" t="str">
        <f>VLOOKUP(D185,'Rates from Tracker'!A:C,3,0)</f>
        <v>SSR Holdings LLC</v>
      </c>
      <c r="I185" t="str">
        <f>VLOOKUP(Table11[[#This Row],[Franchisee]],'Rates from Tracker'!C:D,2,0)</f>
        <v>Bikram</v>
      </c>
      <c r="J185" s="10">
        <f>ROUND(IF(Table11[[#This Row],[Location]]="Belmont Market",Table11[[#This Row],[Column2]]*0.01,IF(Table11[[#This Row],[Location]]="Country Club Centre",Table11[[#This Row],[Column2]]*0.01,IF(Table11[[#This Row],[Location]]="Naval Air Station Norfolk",Table11[[#This Row],[Column2]]*0.005,F185*0.02))),2)</f>
        <v>64.31</v>
      </c>
      <c r="K18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85" s="11">
        <f t="shared" si="6"/>
        <v>32.15</v>
      </c>
      <c r="M185" s="10">
        <f t="shared" si="7"/>
        <v>96.460000000000008</v>
      </c>
    </row>
    <row r="186" spans="1:13" x14ac:dyDescent="0.25">
      <c r="A186" s="143" t="str">
        <f>IF(Table11[[#This Row],[Date]]=0,"",IF(Table11[[#This Row],[Date]]&lt;(Summary!$B$3-6),1,""))</f>
        <v/>
      </c>
      <c r="B186" s="127">
        <v>46269</v>
      </c>
      <c r="C186" s="16">
        <v>256</v>
      </c>
      <c r="D186" s="16" t="s">
        <v>266</v>
      </c>
      <c r="E186" s="17">
        <v>4337.41</v>
      </c>
      <c r="F186" s="17">
        <v>4096.67</v>
      </c>
      <c r="G186" s="10" t="str">
        <f>VLOOKUP(Table11[[#This Row],[Store]],'Rates from Tracker'!A:B,2,0)</f>
        <v>S Academy Highlands</v>
      </c>
      <c r="H186" t="str">
        <f>VLOOKUP(D186,'Rates from Tracker'!A:C,3,0)</f>
        <v>Best Pizza LLC</v>
      </c>
      <c r="I186" t="str">
        <f>VLOOKUP(Table11[[#This Row],[Franchisee]],'Rates from Tracker'!C:D,2,0)</f>
        <v>Merullo</v>
      </c>
      <c r="J186" s="10">
        <f>ROUND(IF(Table11[[#This Row],[Location]]="Belmont Market",Table11[[#This Row],[Column2]]*0.01,IF(Table11[[#This Row],[Location]]="Country Club Centre",Table11[[#This Row],[Column2]]*0.01,IF(Table11[[#This Row],[Location]]="Naval Air Station Norfolk",Table11[[#This Row],[Column2]]*0.005,F186*0.02))),2)</f>
        <v>81.93</v>
      </c>
      <c r="K18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86" s="11">
        <f t="shared" si="6"/>
        <v>204.83</v>
      </c>
      <c r="M186" s="10">
        <f t="shared" si="7"/>
        <v>286.76</v>
      </c>
    </row>
    <row r="187" spans="1:13" x14ac:dyDescent="0.25">
      <c r="A187" s="143" t="str">
        <f>IF(Table11[[#This Row],[Date]]=0,"",IF(Table11[[#This Row],[Date]]&lt;(Summary!$B$3-6),1,""))</f>
        <v/>
      </c>
      <c r="B187" s="127">
        <v>46269</v>
      </c>
      <c r="C187" s="16">
        <v>258</v>
      </c>
      <c r="D187" s="16" t="s">
        <v>582</v>
      </c>
      <c r="E187" s="17">
        <v>2988.67</v>
      </c>
      <c r="F187" s="17">
        <v>2917.21</v>
      </c>
      <c r="G187" s="10" t="str">
        <f>VLOOKUP(Table11[[#This Row],[Store]],'Rates from Tracker'!A:B,2,0)</f>
        <v>Riverdale</v>
      </c>
      <c r="H187" t="str">
        <f>VLOOKUP(D187,'Rates from Tracker'!A:C,3,0)</f>
        <v>SSR Holdings LLC</v>
      </c>
      <c r="I187" t="str">
        <f>VLOOKUP(Table11[[#This Row],[Franchisee]],'Rates from Tracker'!C:D,2,0)</f>
        <v>Bikram</v>
      </c>
      <c r="J187" s="10">
        <f>ROUND(IF(Table11[[#This Row],[Location]]="Belmont Market",Table11[[#This Row],[Column2]]*0.01,IF(Table11[[#This Row],[Location]]="Country Club Centre",Table11[[#This Row],[Column2]]*0.01,IF(Table11[[#This Row],[Location]]="Naval Air Station Norfolk",Table11[[#This Row],[Column2]]*0.005,F187*0.02))),2)</f>
        <v>58.34</v>
      </c>
      <c r="K18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87" s="11">
        <f t="shared" si="6"/>
        <v>29.17</v>
      </c>
      <c r="M187" s="10">
        <f t="shared" si="7"/>
        <v>87.51</v>
      </c>
    </row>
    <row r="188" spans="1:13" x14ac:dyDescent="0.25">
      <c r="A188" s="143" t="str">
        <f>IF(Table11[[#This Row],[Date]]=0,"",IF(Table11[[#This Row],[Date]]&lt;(Summary!$B$3-6),1,""))</f>
        <v/>
      </c>
      <c r="B188" s="127">
        <v>46269</v>
      </c>
      <c r="C188" s="16">
        <v>260</v>
      </c>
      <c r="D188" s="16" t="s">
        <v>280</v>
      </c>
      <c r="E188" s="17">
        <v>5074.87</v>
      </c>
      <c r="F188" s="17">
        <v>4897.74</v>
      </c>
      <c r="G188" s="10" t="str">
        <f>VLOOKUP(Table11[[#This Row],[Store]],'Rates from Tracker'!A:B,2,0)</f>
        <v>Highlands Ranch</v>
      </c>
      <c r="H188" t="str">
        <f>VLOOKUP(D188,'Rates from Tracker'!A:C,3,0)</f>
        <v>Best Pizza LLC</v>
      </c>
      <c r="I188" t="str">
        <f>VLOOKUP(Table11[[#This Row],[Franchisee]],'Rates from Tracker'!C:D,2,0)</f>
        <v>Merullo</v>
      </c>
      <c r="J188" s="10">
        <f>ROUND(IF(Table11[[#This Row],[Location]]="Belmont Market",Table11[[#This Row],[Column2]]*0.01,IF(Table11[[#This Row],[Location]]="Country Club Centre",Table11[[#This Row],[Column2]]*0.01,IF(Table11[[#This Row],[Location]]="Naval Air Station Norfolk",Table11[[#This Row],[Column2]]*0.005,F188*0.02))),2)</f>
        <v>97.95</v>
      </c>
      <c r="K18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88" s="11">
        <f t="shared" si="6"/>
        <v>244.89</v>
      </c>
      <c r="M188" s="10">
        <f t="shared" si="7"/>
        <v>342.84</v>
      </c>
    </row>
    <row r="189" spans="1:13" x14ac:dyDescent="0.25">
      <c r="A189" s="143" t="str">
        <f>IF(Table11[[#This Row],[Date]]=0,"",IF(Table11[[#This Row],[Date]]&lt;(Summary!$B$3-6),1,""))</f>
        <v/>
      </c>
      <c r="B189" s="127">
        <v>46269</v>
      </c>
      <c r="C189" s="16">
        <v>265</v>
      </c>
      <c r="D189" s="16" t="s">
        <v>267</v>
      </c>
      <c r="E189" s="17">
        <v>6915.02</v>
      </c>
      <c r="F189" s="17">
        <v>6773.82</v>
      </c>
      <c r="G189" s="10" t="str">
        <f>VLOOKUP(Table11[[#This Row],[Store]],'Rates from Tracker'!A:B,2,0)</f>
        <v>Dublin Commons</v>
      </c>
      <c r="H189" t="str">
        <f>VLOOKUP(D189,'Rates from Tracker'!A:C,3,0)</f>
        <v>Best Pizza LLC</v>
      </c>
      <c r="I189" t="str">
        <f>VLOOKUP(Table11[[#This Row],[Franchisee]],'Rates from Tracker'!C:D,2,0)</f>
        <v>Merullo</v>
      </c>
      <c r="J189" s="10">
        <f>ROUND(IF(Table11[[#This Row],[Location]]="Belmont Market",Table11[[#This Row],[Column2]]*0.01,IF(Table11[[#This Row],[Location]]="Country Club Centre",Table11[[#This Row],[Column2]]*0.01,IF(Table11[[#This Row],[Location]]="Naval Air Station Norfolk",Table11[[#This Row],[Column2]]*0.005,F189*0.02))),2)</f>
        <v>135.47999999999999</v>
      </c>
      <c r="K18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89" s="11">
        <f t="shared" si="6"/>
        <v>338.69</v>
      </c>
      <c r="M189" s="10">
        <f t="shared" si="7"/>
        <v>474.16999999999996</v>
      </c>
    </row>
    <row r="190" spans="1:13" x14ac:dyDescent="0.25">
      <c r="A190" s="143" t="str">
        <f>IF(Table11[[#This Row],[Date]]=0,"",IF(Table11[[#This Row],[Date]]&lt;(Summary!$B$3-6),1,""))</f>
        <v/>
      </c>
      <c r="B190" s="127">
        <v>46269</v>
      </c>
      <c r="C190" s="16">
        <v>267</v>
      </c>
      <c r="D190" s="16" t="s">
        <v>281</v>
      </c>
      <c r="E190" s="17">
        <v>2192.92</v>
      </c>
      <c r="F190" s="17">
        <v>2180.4499999999998</v>
      </c>
      <c r="G190" s="10" t="str">
        <f>VLOOKUP(Table11[[#This Row],[Store]],'Rates from Tracker'!A:B,2,0)</f>
        <v>Decatur</v>
      </c>
      <c r="H190" t="str">
        <f>VLOOKUP(D190,'Rates from Tracker'!A:C,3,0)</f>
        <v>DAZ9</v>
      </c>
      <c r="I190" t="str">
        <f>VLOOKUP(Table11[[#This Row],[Franchisee]],'Rates from Tracker'!C:D,2,0)</f>
        <v>Neal Patel</v>
      </c>
      <c r="J190" s="10">
        <f>ROUND(IF(Table11[[#This Row],[Location]]="Belmont Market",Table11[[#This Row],[Column2]]*0.01,IF(Table11[[#This Row],[Location]]="Country Club Centre",Table11[[#This Row],[Column2]]*0.01,IF(Table11[[#This Row],[Location]]="Naval Air Station Norfolk",Table11[[#This Row],[Column2]]*0.005,F190*0.02))),2)</f>
        <v>43.61</v>
      </c>
      <c r="K19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90" s="11">
        <f t="shared" si="6"/>
        <v>21.8</v>
      </c>
      <c r="M190" s="10">
        <f t="shared" si="7"/>
        <v>65.41</v>
      </c>
    </row>
    <row r="191" spans="1:13" x14ac:dyDescent="0.25">
      <c r="A191" s="143" t="str">
        <f>IF(Table11[[#This Row],[Date]]=0,"",IF(Table11[[#This Row],[Date]]&lt;(Summary!$B$3-6),1,""))</f>
        <v/>
      </c>
      <c r="B191" s="127">
        <v>46269</v>
      </c>
      <c r="C191" s="16">
        <v>272</v>
      </c>
      <c r="D191" s="16" t="s">
        <v>290</v>
      </c>
      <c r="E191" s="17">
        <v>4037.15</v>
      </c>
      <c r="F191" s="17">
        <v>3984.4</v>
      </c>
      <c r="G191" s="10" t="str">
        <f>VLOOKUP(Table11[[#This Row],[Store]],'Rates from Tracker'!A:B,2,0)</f>
        <v>Northfield Commons</v>
      </c>
      <c r="H191" t="str">
        <f>VLOOKUP(D191,'Rates from Tracker'!A:C,3,0)</f>
        <v>Best Pizza LLC</v>
      </c>
      <c r="I191" t="str">
        <f>VLOOKUP(Table11[[#This Row],[Franchisee]],'Rates from Tracker'!C:D,2,0)</f>
        <v>Merullo</v>
      </c>
      <c r="J191" s="10">
        <f>ROUND(IF(Table11[[#This Row],[Location]]="Belmont Market",Table11[[#This Row],[Column2]]*0.01,IF(Table11[[#This Row],[Location]]="Country Club Centre",Table11[[#This Row],[Column2]]*0.01,IF(Table11[[#This Row],[Location]]="Naval Air Station Norfolk",Table11[[#This Row],[Column2]]*0.005,F191*0.02))),2)</f>
        <v>79.69</v>
      </c>
      <c r="K19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91" s="11">
        <f t="shared" si="6"/>
        <v>199.22</v>
      </c>
      <c r="M191" s="10">
        <f t="shared" si="7"/>
        <v>278.90999999999997</v>
      </c>
    </row>
    <row r="192" spans="1:13" x14ac:dyDescent="0.25">
      <c r="A192" s="143" t="str">
        <f>IF(Table11[[#This Row],[Date]]=0,"",IF(Table11[[#This Row],[Date]]&lt;(Summary!$B$3-6),1,""))</f>
        <v/>
      </c>
      <c r="B192" s="127">
        <v>46269</v>
      </c>
      <c r="C192" s="16">
        <v>278</v>
      </c>
      <c r="D192" s="16" t="s">
        <v>284</v>
      </c>
      <c r="E192" s="17">
        <v>3219.34</v>
      </c>
      <c r="F192" s="17">
        <v>3178.38</v>
      </c>
      <c r="G192" s="10" t="str">
        <f>VLOOKUP(Table11[[#This Row],[Store]],'Rates from Tracker'!A:B,2,0)</f>
        <v>Diamond Circle</v>
      </c>
      <c r="H192" t="str">
        <f>VLOOKUP(D192,'Rates from Tracker'!A:C,3,0)</f>
        <v>Best Pizza LLC</v>
      </c>
      <c r="I192" t="str">
        <f>VLOOKUP(Table11[[#This Row],[Franchisee]],'Rates from Tracker'!C:D,2,0)</f>
        <v>Merullo</v>
      </c>
      <c r="J192" s="10">
        <f>ROUND(IF(Table11[[#This Row],[Location]]="Belmont Market",Table11[[#This Row],[Column2]]*0.01,IF(Table11[[#This Row],[Location]]="Country Club Centre",Table11[[#This Row],[Column2]]*0.01,IF(Table11[[#This Row],[Location]]="Naval Air Station Norfolk",Table11[[#This Row],[Column2]]*0.005,F192*0.02))),2)</f>
        <v>63.57</v>
      </c>
      <c r="K19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92" s="11">
        <f t="shared" si="6"/>
        <v>158.91999999999999</v>
      </c>
      <c r="M192" s="10">
        <f t="shared" si="7"/>
        <v>222.48999999999998</v>
      </c>
    </row>
    <row r="193" spans="1:13" x14ac:dyDescent="0.25">
      <c r="A193" s="143" t="str">
        <f>IF(Table11[[#This Row],[Date]]=0,"",IF(Table11[[#This Row],[Date]]&lt;(Summary!$B$3-6),1,""))</f>
        <v/>
      </c>
      <c r="B193" s="127">
        <v>46269</v>
      </c>
      <c r="C193" s="16">
        <v>279</v>
      </c>
      <c r="D193" s="16" t="s">
        <v>299</v>
      </c>
      <c r="E193" s="17">
        <v>3561.31</v>
      </c>
      <c r="F193" s="17">
        <v>3470.26</v>
      </c>
      <c r="G193" s="10" t="str">
        <f>VLOOKUP(Table11[[#This Row],[Store]],'Rates from Tracker'!A:B,2,0)</f>
        <v>Lexington</v>
      </c>
      <c r="H193" t="str">
        <f>VLOOKUP(D193,'Rates from Tracker'!A:C,3,0)</f>
        <v>Rolling Dough LLC</v>
      </c>
      <c r="I193" t="str">
        <f>VLOOKUP(Table11[[#This Row],[Franchisee]],'Rates from Tracker'!C:D,2,0)</f>
        <v>Connolly</v>
      </c>
      <c r="J193" s="10">
        <f>ROUND(IF(Table11[[#This Row],[Location]]="Belmont Market",Table11[[#This Row],[Column2]]*0.01,IF(Table11[[#This Row],[Location]]="Country Club Centre",Table11[[#This Row],[Column2]]*0.01,IF(Table11[[#This Row],[Location]]="Naval Air Station Norfolk",Table11[[#This Row],[Column2]]*0.005,F193*0.02))),2)</f>
        <v>69.41</v>
      </c>
      <c r="K19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93" s="11">
        <f t="shared" si="6"/>
        <v>173.51</v>
      </c>
      <c r="M193" s="10">
        <f t="shared" si="7"/>
        <v>242.92</v>
      </c>
    </row>
    <row r="194" spans="1:13" x14ac:dyDescent="0.25">
      <c r="A194" s="143" t="str">
        <f>IF(Table11[[#This Row],[Date]]=0,"",IF(Table11[[#This Row],[Date]]&lt;(Summary!$B$3-6),1,""))</f>
        <v/>
      </c>
      <c r="B194" s="127">
        <v>46269</v>
      </c>
      <c r="C194" s="16">
        <v>285</v>
      </c>
      <c r="D194" s="16" t="s">
        <v>288</v>
      </c>
      <c r="E194" s="17">
        <v>5313.63</v>
      </c>
      <c r="F194" s="17">
        <v>5175.5</v>
      </c>
      <c r="G194" s="10" t="str">
        <f>VLOOKUP(Table11[[#This Row],[Store]],'Rates from Tracker'!A:B,2,0)</f>
        <v>Polaris Pointe</v>
      </c>
      <c r="H194" t="str">
        <f>VLOOKUP(D194,'Rates from Tracker'!A:C,3,0)</f>
        <v>Best Pizza LLC</v>
      </c>
      <c r="I194" t="str">
        <f>VLOOKUP(Table11[[#This Row],[Franchisee]],'Rates from Tracker'!C:D,2,0)</f>
        <v>Merullo</v>
      </c>
      <c r="J194" s="10">
        <f>ROUND(IF(Table11[[#This Row],[Location]]="Belmont Market",Table11[[#This Row],[Column2]]*0.01,IF(Table11[[#This Row],[Location]]="Country Club Centre",Table11[[#This Row],[Column2]]*0.01,IF(Table11[[#This Row],[Location]]="Naval Air Station Norfolk",Table11[[#This Row],[Column2]]*0.005,F194*0.02))),2)</f>
        <v>103.51</v>
      </c>
      <c r="K19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94" s="11">
        <f t="shared" si="6"/>
        <v>258.77999999999997</v>
      </c>
      <c r="M194" s="10">
        <f t="shared" si="7"/>
        <v>362.28999999999996</v>
      </c>
    </row>
    <row r="195" spans="1:13" x14ac:dyDescent="0.25">
      <c r="A195" s="143" t="str">
        <f>IF(Table11[[#This Row],[Date]]=0,"",IF(Table11[[#This Row],[Date]]&lt;(Summary!$B$3-6),1,""))</f>
        <v/>
      </c>
      <c r="B195" s="127">
        <v>46269</v>
      </c>
      <c r="C195" s="16">
        <v>292</v>
      </c>
      <c r="D195" s="16" t="s">
        <v>296</v>
      </c>
      <c r="E195" s="17">
        <v>3664.58</v>
      </c>
      <c r="F195" s="17">
        <v>3613.13</v>
      </c>
      <c r="G195" s="10" t="str">
        <f>VLOOKUP(Table11[[#This Row],[Store]],'Rates from Tracker'!A:B,2,0)</f>
        <v>Greeley</v>
      </c>
      <c r="H195" t="str">
        <f>VLOOKUP(D195,'Rates from Tracker'!A:C,3,0)</f>
        <v>Best Pizza LLC</v>
      </c>
      <c r="I195" t="str">
        <f>VLOOKUP(Table11[[#This Row],[Franchisee]],'Rates from Tracker'!C:D,2,0)</f>
        <v>Merullo</v>
      </c>
      <c r="J195" s="10">
        <f>ROUND(IF(Table11[[#This Row],[Location]]="Belmont Market",Table11[[#This Row],[Column2]]*0.01,IF(Table11[[#This Row],[Location]]="Country Club Centre",Table11[[#This Row],[Column2]]*0.01,IF(Table11[[#This Row],[Location]]="Naval Air Station Norfolk",Table11[[#This Row],[Column2]]*0.005,F195*0.02))),2)</f>
        <v>72.260000000000005</v>
      </c>
      <c r="K19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95" s="11">
        <f t="shared" si="6"/>
        <v>180.66</v>
      </c>
      <c r="M195" s="10">
        <f t="shared" si="7"/>
        <v>252.92000000000002</v>
      </c>
    </row>
    <row r="196" spans="1:13" x14ac:dyDescent="0.25">
      <c r="A196" s="143" t="str">
        <f>IF(Table11[[#This Row],[Date]]=0,"",IF(Table11[[#This Row],[Date]]&lt;(Summary!$B$3-6),1,""))</f>
        <v/>
      </c>
      <c r="B196" s="127">
        <v>46269</v>
      </c>
      <c r="C196" s="16">
        <v>293</v>
      </c>
      <c r="D196" s="16" t="s">
        <v>320</v>
      </c>
      <c r="E196" s="17">
        <v>2490.7600000000002</v>
      </c>
      <c r="F196" s="17">
        <v>2412.84</v>
      </c>
      <c r="G196" s="10" t="str">
        <f>VLOOKUP(Table11[[#This Row],[Store]],'Rates from Tracker'!A:B,2,0)</f>
        <v>West Sacramento</v>
      </c>
      <c r="H196" t="str">
        <f>VLOOKUP(D196,'Rates from Tracker'!A:C,3,0)</f>
        <v>Exceed Group West Sacramento</v>
      </c>
      <c r="I196" t="str">
        <f>VLOOKUP(Table11[[#This Row],[Franchisee]],'Rates from Tracker'!C:D,2,0)</f>
        <v>Chawla</v>
      </c>
      <c r="J196" s="10">
        <f>ROUND(IF(Table11[[#This Row],[Location]]="Belmont Market",Table11[[#This Row],[Column2]]*0.01,IF(Table11[[#This Row],[Location]]="Country Club Centre",Table11[[#This Row],[Column2]]*0.01,IF(Table11[[#This Row],[Location]]="Naval Air Station Norfolk",Table11[[#This Row],[Column2]]*0.005,F196*0.02))),2)</f>
        <v>48.26</v>
      </c>
      <c r="K19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96" s="11">
        <f t="shared" si="6"/>
        <v>120.64</v>
      </c>
      <c r="M196" s="10">
        <f t="shared" si="7"/>
        <v>168.9</v>
      </c>
    </row>
    <row r="197" spans="1:13" x14ac:dyDescent="0.25">
      <c r="A197" s="143" t="str">
        <f>IF(Table11[[#This Row],[Date]]=0,"",IF(Table11[[#This Row],[Date]]&lt;(Summary!$B$3-6),1,""))</f>
        <v/>
      </c>
      <c r="B197" s="127">
        <v>46269</v>
      </c>
      <c r="C197" s="16">
        <v>296</v>
      </c>
      <c r="D197" s="16" t="s">
        <v>329</v>
      </c>
      <c r="E197" s="17">
        <v>2613.8000000000002</v>
      </c>
      <c r="F197" s="17">
        <v>2468.6799999999998</v>
      </c>
      <c r="G197" s="10" t="str">
        <f>VLOOKUP(Table11[[#This Row],[Store]],'Rates from Tracker'!A:B,2,0)</f>
        <v>Rancho Cordova</v>
      </c>
      <c r="H197" t="str">
        <f>VLOOKUP(D197,'Rates from Tracker'!A:C,3,0)</f>
        <v>Exceed Group Rancho Cordova</v>
      </c>
      <c r="I197" t="str">
        <f>VLOOKUP(Table11[[#This Row],[Franchisee]],'Rates from Tracker'!C:D,2,0)</f>
        <v>Chawla</v>
      </c>
      <c r="J197" s="10">
        <f>ROUND(IF(Table11[[#This Row],[Location]]="Belmont Market",Table11[[#This Row],[Column2]]*0.01,IF(Table11[[#This Row],[Location]]="Country Club Centre",Table11[[#This Row],[Column2]]*0.01,IF(Table11[[#This Row],[Location]]="Naval Air Station Norfolk",Table11[[#This Row],[Column2]]*0.005,F197*0.02))),2)</f>
        <v>49.37</v>
      </c>
      <c r="K19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197" s="11">
        <f t="shared" ref="L197:L260" si="8">ROUND(F197*K197,2)</f>
        <v>123.43</v>
      </c>
      <c r="M197" s="10">
        <f t="shared" ref="M197:M260" si="9">J197+L197</f>
        <v>172.8</v>
      </c>
    </row>
    <row r="198" spans="1:13" x14ac:dyDescent="0.25">
      <c r="A198" s="143" t="str">
        <f>IF(Table11[[#This Row],[Date]]=0,"",IF(Table11[[#This Row],[Date]]&lt;(Summary!$B$3-6),1,""))</f>
        <v/>
      </c>
      <c r="B198" s="127">
        <v>46269</v>
      </c>
      <c r="C198" s="16">
        <v>324</v>
      </c>
      <c r="D198" s="16" t="s">
        <v>569</v>
      </c>
      <c r="E198" s="17">
        <v>3297.49</v>
      </c>
      <c r="F198" s="17">
        <v>3215.75</v>
      </c>
      <c r="G198" s="10" t="str">
        <f>VLOOKUP(Table11[[#This Row],[Store]],'Rates from Tracker'!A:B,2,0)</f>
        <v>American Fork</v>
      </c>
      <c r="H198" t="str">
        <f>VLOOKUP(D198,'Rates from Tracker'!A:C,3,0)</f>
        <v>SSR Holdings LLC</v>
      </c>
      <c r="I198" t="str">
        <f>VLOOKUP(Table11[[#This Row],[Franchisee]],'Rates from Tracker'!C:D,2,0)</f>
        <v>Bikram</v>
      </c>
      <c r="J198" s="10">
        <f>ROUND(IF(Table11[[#This Row],[Location]]="Belmont Market",Table11[[#This Row],[Column2]]*0.01,IF(Table11[[#This Row],[Location]]="Country Club Centre",Table11[[#This Row],[Column2]]*0.01,IF(Table11[[#This Row],[Location]]="Naval Air Station Norfolk",Table11[[#This Row],[Column2]]*0.005,F198*0.02))),2)</f>
        <v>64.319999999999993</v>
      </c>
      <c r="K19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98" s="11">
        <f t="shared" si="8"/>
        <v>32.159999999999997</v>
      </c>
      <c r="M198" s="10">
        <f t="shared" si="9"/>
        <v>96.47999999999999</v>
      </c>
    </row>
    <row r="199" spans="1:13" x14ac:dyDescent="0.25">
      <c r="A199" s="143" t="str">
        <f>IF(Table11[[#This Row],[Date]]=0,"",IF(Table11[[#This Row],[Date]]&lt;(Summary!$B$3-6),1,""))</f>
        <v/>
      </c>
      <c r="B199" s="127">
        <v>46269</v>
      </c>
      <c r="C199" s="16">
        <v>325</v>
      </c>
      <c r="D199" s="16" t="s">
        <v>591</v>
      </c>
      <c r="E199" s="17">
        <v>2631.56</v>
      </c>
      <c r="F199" s="17">
        <v>2543.86</v>
      </c>
      <c r="G199" s="10" t="str">
        <f>VLOOKUP(Table11[[#This Row],[Store]],'Rates from Tracker'!A:B,2,0)</f>
        <v>Sugar House</v>
      </c>
      <c r="H199" t="str">
        <f>VLOOKUP(D199,'Rates from Tracker'!A:C,3,0)</f>
        <v>SSR Holdings LLC</v>
      </c>
      <c r="I199" t="str">
        <f>VLOOKUP(Table11[[#This Row],[Franchisee]],'Rates from Tracker'!C:D,2,0)</f>
        <v>Bikram</v>
      </c>
      <c r="J199" s="10">
        <f>ROUND(IF(Table11[[#This Row],[Location]]="Belmont Market",Table11[[#This Row],[Column2]]*0.01,IF(Table11[[#This Row],[Location]]="Country Club Centre",Table11[[#This Row],[Column2]]*0.01,IF(Table11[[#This Row],[Location]]="Naval Air Station Norfolk",Table11[[#This Row],[Column2]]*0.005,F199*0.02))),2)</f>
        <v>50.88</v>
      </c>
      <c r="K19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199" s="11">
        <f t="shared" si="8"/>
        <v>25.44</v>
      </c>
      <c r="M199" s="10">
        <f t="shared" si="9"/>
        <v>76.320000000000007</v>
      </c>
    </row>
    <row r="200" spans="1:13" x14ac:dyDescent="0.25">
      <c r="A200" s="143" t="str">
        <f>IF(Table11[[#This Row],[Date]]=0,"",IF(Table11[[#This Row],[Date]]&lt;(Summary!$B$3-6),1,""))</f>
        <v/>
      </c>
      <c r="B200" s="127">
        <v>46269</v>
      </c>
      <c r="C200" s="16">
        <v>332</v>
      </c>
      <c r="D200" s="16" t="s">
        <v>583</v>
      </c>
      <c r="E200" s="17">
        <v>3293.07</v>
      </c>
      <c r="F200" s="17">
        <v>3169.54</v>
      </c>
      <c r="G200" s="10" t="str">
        <f>VLOOKUP(Table11[[#This Row],[Store]],'Rates from Tracker'!A:B,2,0)</f>
        <v>Riverton</v>
      </c>
      <c r="H200" t="str">
        <f>VLOOKUP(D200,'Rates from Tracker'!A:C,3,0)</f>
        <v>SSR Holdings LLC</v>
      </c>
      <c r="I200" t="str">
        <f>VLOOKUP(Table11[[#This Row],[Franchisee]],'Rates from Tracker'!C:D,2,0)</f>
        <v>Bikram</v>
      </c>
      <c r="J200" s="10">
        <f>ROUND(IF(Table11[[#This Row],[Location]]="Belmont Market",Table11[[#This Row],[Column2]]*0.01,IF(Table11[[#This Row],[Location]]="Country Club Centre",Table11[[#This Row],[Column2]]*0.01,IF(Table11[[#This Row],[Location]]="Naval Air Station Norfolk",Table11[[#This Row],[Column2]]*0.005,F200*0.02))),2)</f>
        <v>63.39</v>
      </c>
      <c r="K20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00" s="11">
        <f t="shared" si="8"/>
        <v>31.7</v>
      </c>
      <c r="M200" s="10">
        <f t="shared" si="9"/>
        <v>95.09</v>
      </c>
    </row>
    <row r="201" spans="1:13" x14ac:dyDescent="0.25">
      <c r="A201" s="143" t="str">
        <f>IF(Table11[[#This Row],[Date]]=0,"",IF(Table11[[#This Row],[Date]]&lt;(Summary!$B$3-6),1,""))</f>
        <v/>
      </c>
      <c r="B201" s="127">
        <v>46269</v>
      </c>
      <c r="C201" s="16">
        <v>334</v>
      </c>
      <c r="D201" s="16" t="s">
        <v>577</v>
      </c>
      <c r="E201" s="17">
        <v>2793.57</v>
      </c>
      <c r="F201" s="17">
        <v>2504.44</v>
      </c>
      <c r="G201" s="10" t="str">
        <f>VLOOKUP(Table11[[#This Row],[Store]],'Rates from Tracker'!A:B,2,0)</f>
        <v>Layton</v>
      </c>
      <c r="H201" t="str">
        <f>VLOOKUP(D201,'Rates from Tracker'!A:C,3,0)</f>
        <v>SSR Holdings LLC</v>
      </c>
      <c r="I201" t="str">
        <f>VLOOKUP(Table11[[#This Row],[Franchisee]],'Rates from Tracker'!C:D,2,0)</f>
        <v>Bikram</v>
      </c>
      <c r="J201" s="10">
        <f>ROUND(IF(Table11[[#This Row],[Location]]="Belmont Market",Table11[[#This Row],[Column2]]*0.01,IF(Table11[[#This Row],[Location]]="Country Club Centre",Table11[[#This Row],[Column2]]*0.01,IF(Table11[[#This Row],[Location]]="Naval Air Station Norfolk",Table11[[#This Row],[Column2]]*0.005,F201*0.02))),2)</f>
        <v>50.09</v>
      </c>
      <c r="K20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01" s="11">
        <f t="shared" si="8"/>
        <v>25.04</v>
      </c>
      <c r="M201" s="10">
        <f t="shared" si="9"/>
        <v>75.13</v>
      </c>
    </row>
    <row r="202" spans="1:13" x14ac:dyDescent="0.25">
      <c r="A202" s="143" t="str">
        <f>IF(Table11[[#This Row],[Date]]=0,"",IF(Table11[[#This Row],[Date]]&lt;(Summary!$B$3-6),1,""))</f>
        <v/>
      </c>
      <c r="B202" s="127">
        <v>46269</v>
      </c>
      <c r="C202" s="16">
        <v>338</v>
      </c>
      <c r="D202" s="16" t="s">
        <v>310</v>
      </c>
      <c r="E202" s="17">
        <v>2548.7600000000002</v>
      </c>
      <c r="F202" s="17">
        <v>2463.58</v>
      </c>
      <c r="G202" s="10" t="str">
        <f>VLOOKUP(Table11[[#This Row],[Store]],'Rates from Tracker'!A:B,2,0)</f>
        <v>Augusta Exchange</v>
      </c>
      <c r="H202" t="str">
        <f>VLOOKUP(D202,'Rates from Tracker'!A:C,3,0)</f>
        <v>Rolling Dough LLC</v>
      </c>
      <c r="I202" t="str">
        <f>VLOOKUP(Table11[[#This Row],[Franchisee]],'Rates from Tracker'!C:D,2,0)</f>
        <v>Connolly</v>
      </c>
      <c r="J202" s="10">
        <f>ROUND(IF(Table11[[#This Row],[Location]]="Belmont Market",Table11[[#This Row],[Column2]]*0.01,IF(Table11[[#This Row],[Location]]="Country Club Centre",Table11[[#This Row],[Column2]]*0.01,IF(Table11[[#This Row],[Location]]="Naval Air Station Norfolk",Table11[[#This Row],[Column2]]*0.005,F202*0.02))),2)</f>
        <v>49.27</v>
      </c>
      <c r="K20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02" s="11">
        <f t="shared" si="8"/>
        <v>123.18</v>
      </c>
      <c r="M202" s="10">
        <f t="shared" si="9"/>
        <v>172.45000000000002</v>
      </c>
    </row>
    <row r="203" spans="1:13" x14ac:dyDescent="0.25">
      <c r="A203" s="143" t="str">
        <f>IF(Table11[[#This Row],[Date]]=0,"",IF(Table11[[#This Row],[Date]]&lt;(Summary!$B$3-6),1,""))</f>
        <v/>
      </c>
      <c r="B203" s="127">
        <v>46269</v>
      </c>
      <c r="C203" s="16">
        <v>348</v>
      </c>
      <c r="D203" s="16" t="s">
        <v>572</v>
      </c>
      <c r="E203" s="17">
        <v>4236.24</v>
      </c>
      <c r="F203" s="17">
        <v>4138.54</v>
      </c>
      <c r="G203" s="10" t="str">
        <f>VLOOKUP(Table11[[#This Row],[Store]],'Rates from Tracker'!A:B,2,0)</f>
        <v>Bend North</v>
      </c>
      <c r="H203" t="str">
        <f>VLOOKUP(D203,'Rates from Tracker'!A:C,3,0)</f>
        <v>SSR Holdings LLC</v>
      </c>
      <c r="I203" t="str">
        <f>VLOOKUP(Table11[[#This Row],[Franchisee]],'Rates from Tracker'!C:D,2,0)</f>
        <v>Bikram</v>
      </c>
      <c r="J203" s="10">
        <f>ROUND(IF(Table11[[#This Row],[Location]]="Belmont Market",Table11[[#This Row],[Column2]]*0.01,IF(Table11[[#This Row],[Location]]="Country Club Centre",Table11[[#This Row],[Column2]]*0.01,IF(Table11[[#This Row],[Location]]="Naval Air Station Norfolk",Table11[[#This Row],[Column2]]*0.005,F203*0.02))),2)</f>
        <v>82.77</v>
      </c>
      <c r="K20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03" s="11">
        <f t="shared" si="8"/>
        <v>41.39</v>
      </c>
      <c r="M203" s="10">
        <f t="shared" si="9"/>
        <v>124.16</v>
      </c>
    </row>
    <row r="204" spans="1:13" x14ac:dyDescent="0.25">
      <c r="A204" s="143" t="str">
        <f>IF(Table11[[#This Row],[Date]]=0,"",IF(Table11[[#This Row],[Date]]&lt;(Summary!$B$3-6),1,""))</f>
        <v/>
      </c>
      <c r="B204" s="127">
        <v>46269</v>
      </c>
      <c r="C204" s="16">
        <v>349</v>
      </c>
      <c r="D204" s="16" t="s">
        <v>588</v>
      </c>
      <c r="E204" s="17">
        <v>3001.79</v>
      </c>
      <c r="F204" s="17">
        <v>2904</v>
      </c>
      <c r="G204" s="10" t="str">
        <f>VLOOKUP(Table11[[#This Row],[Store]],'Rates from Tracker'!A:B,2,0)</f>
        <v>South Medford</v>
      </c>
      <c r="H204" t="str">
        <f>VLOOKUP(D204,'Rates from Tracker'!A:C,3,0)</f>
        <v>SSR Holdings LLC</v>
      </c>
      <c r="I204" t="str">
        <f>VLOOKUP(Table11[[#This Row],[Franchisee]],'Rates from Tracker'!C:D,2,0)</f>
        <v>Bikram</v>
      </c>
      <c r="J204" s="10">
        <f>ROUND(IF(Table11[[#This Row],[Location]]="Belmont Market",Table11[[#This Row],[Column2]]*0.01,IF(Table11[[#This Row],[Location]]="Country Club Centre",Table11[[#This Row],[Column2]]*0.01,IF(Table11[[#This Row],[Location]]="Naval Air Station Norfolk",Table11[[#This Row],[Column2]]*0.005,F204*0.02))),2)</f>
        <v>58.08</v>
      </c>
      <c r="K20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04" s="11">
        <f t="shared" si="8"/>
        <v>29.04</v>
      </c>
      <c r="M204" s="10">
        <f t="shared" si="9"/>
        <v>87.12</v>
      </c>
    </row>
    <row r="205" spans="1:13" x14ac:dyDescent="0.25">
      <c r="A205" s="143" t="str">
        <f>IF(Table11[[#This Row],[Date]]=0,"",IF(Table11[[#This Row],[Date]]&lt;(Summary!$B$3-6),1,""))</f>
        <v/>
      </c>
      <c r="B205" s="127">
        <v>46269</v>
      </c>
      <c r="C205" s="16">
        <v>352</v>
      </c>
      <c r="D205" s="16" t="s">
        <v>350</v>
      </c>
      <c r="E205" s="17">
        <v>2615.19</v>
      </c>
      <c r="F205" s="17">
        <v>2443.41</v>
      </c>
      <c r="G205" s="10" t="str">
        <f>VLOOKUP(Table11[[#This Row],[Store]],'Rates from Tracker'!A:B,2,0)</f>
        <v>Georgetown</v>
      </c>
      <c r="H205" t="str">
        <f>VLOOKUP(D205,'Rates from Tracker'!A:C,3,0)</f>
        <v>Cool Dough Development, LLC</v>
      </c>
      <c r="I205" t="str">
        <f>VLOOKUP(Table11[[#This Row],[Franchisee]],'Rates from Tracker'!C:D,2,0)</f>
        <v>Denning</v>
      </c>
      <c r="J205" s="10">
        <f>ROUND(IF(Table11[[#This Row],[Location]]="Belmont Market",Table11[[#This Row],[Column2]]*0.01,IF(Table11[[#This Row],[Location]]="Country Club Centre",Table11[[#This Row],[Column2]]*0.01,IF(Table11[[#This Row],[Location]]="Naval Air Station Norfolk",Table11[[#This Row],[Column2]]*0.005,F205*0.02))),2)</f>
        <v>48.87</v>
      </c>
      <c r="K20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05" s="11">
        <f t="shared" si="8"/>
        <v>122.17</v>
      </c>
      <c r="M205" s="10">
        <f t="shared" si="9"/>
        <v>171.04</v>
      </c>
    </row>
    <row r="206" spans="1:13" x14ac:dyDescent="0.25">
      <c r="A206" s="143" t="str">
        <f>IF(Table11[[#This Row],[Date]]=0,"",IF(Table11[[#This Row],[Date]]&lt;(Summary!$B$3-6),1,""))</f>
        <v/>
      </c>
      <c r="B206" s="127">
        <v>46269</v>
      </c>
      <c r="C206" s="16">
        <v>366</v>
      </c>
      <c r="D206" s="16" t="s">
        <v>585</v>
      </c>
      <c r="E206" s="17">
        <v>4213.0200000000004</v>
      </c>
      <c r="F206" s="17">
        <v>4087.14</v>
      </c>
      <c r="G206" s="10" t="str">
        <f>VLOOKUP(Table11[[#This Row],[Store]],'Rates from Tracker'!A:B,2,0)</f>
        <v>Saratoga Springs</v>
      </c>
      <c r="H206" t="str">
        <f>VLOOKUP(D206,'Rates from Tracker'!A:C,3,0)</f>
        <v>SSR Holdings LLC</v>
      </c>
      <c r="I206" t="str">
        <f>VLOOKUP(Table11[[#This Row],[Franchisee]],'Rates from Tracker'!C:D,2,0)</f>
        <v>Bikram</v>
      </c>
      <c r="J206" s="10">
        <f>ROUND(IF(Table11[[#This Row],[Location]]="Belmont Market",Table11[[#This Row],[Column2]]*0.01,IF(Table11[[#This Row],[Location]]="Country Club Centre",Table11[[#This Row],[Column2]]*0.01,IF(Table11[[#This Row],[Location]]="Naval Air Station Norfolk",Table11[[#This Row],[Column2]]*0.005,F206*0.02))),2)</f>
        <v>81.739999999999995</v>
      </c>
      <c r="K20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06" s="11">
        <f t="shared" si="8"/>
        <v>40.869999999999997</v>
      </c>
      <c r="M206" s="10">
        <f t="shared" si="9"/>
        <v>122.60999999999999</v>
      </c>
    </row>
    <row r="207" spans="1:13" x14ac:dyDescent="0.25">
      <c r="A207" s="143" t="str">
        <f>IF(Table11[[#This Row],[Date]]=0,"",IF(Table11[[#This Row],[Date]]&lt;(Summary!$B$3-6),1,""))</f>
        <v/>
      </c>
      <c r="B207" s="127">
        <v>46269</v>
      </c>
      <c r="C207" s="16">
        <v>384</v>
      </c>
      <c r="D207" s="16" t="s">
        <v>339</v>
      </c>
      <c r="E207" s="17">
        <v>3681.48</v>
      </c>
      <c r="F207" s="17">
        <v>3532.48</v>
      </c>
      <c r="G207" s="10" t="str">
        <f>VLOOKUP(Table11[[#This Row],[Store]],'Rates from Tracker'!A:B,2,0)</f>
        <v>Ralston Creek</v>
      </c>
      <c r="H207" t="str">
        <f>VLOOKUP(D207,'Rates from Tracker'!A:C,3,0)</f>
        <v>Best Pizza LLC</v>
      </c>
      <c r="I207" t="str">
        <f>VLOOKUP(Table11[[#This Row],[Franchisee]],'Rates from Tracker'!C:D,2,0)</f>
        <v>Merullo</v>
      </c>
      <c r="J207" s="10">
        <f>ROUND(IF(Table11[[#This Row],[Location]]="Belmont Market",Table11[[#This Row],[Column2]]*0.01,IF(Table11[[#This Row],[Location]]="Country Club Centre",Table11[[#This Row],[Column2]]*0.01,IF(Table11[[#This Row],[Location]]="Naval Air Station Norfolk",Table11[[#This Row],[Column2]]*0.005,F207*0.02))),2)</f>
        <v>70.650000000000006</v>
      </c>
      <c r="K20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07" s="11">
        <f t="shared" si="8"/>
        <v>176.62</v>
      </c>
      <c r="M207" s="10">
        <f t="shared" si="9"/>
        <v>247.27</v>
      </c>
    </row>
    <row r="208" spans="1:13" x14ac:dyDescent="0.25">
      <c r="A208" s="143" t="str">
        <f>IF(Table11[[#This Row],[Date]]=0,"",IF(Table11[[#This Row],[Date]]&lt;(Summary!$B$3-6),1,""))</f>
        <v/>
      </c>
      <c r="B208" s="127">
        <v>46269</v>
      </c>
      <c r="C208" s="16">
        <v>413</v>
      </c>
      <c r="D208" s="16" t="s">
        <v>322</v>
      </c>
      <c r="E208" s="17">
        <v>2364.27</v>
      </c>
      <c r="F208" s="17">
        <v>2321.5300000000002</v>
      </c>
      <c r="G208" s="10" t="str">
        <f>VLOOKUP(Table11[[#This Row],[Store]],'Rates from Tracker'!A:B,2,0)</f>
        <v>Madison</v>
      </c>
      <c r="H208" t="str">
        <f>VLOOKUP(D208,'Rates from Tracker'!A:C,3,0)</f>
        <v>APizza Delight Inc</v>
      </c>
      <c r="I208" t="str">
        <f>VLOOKUP(Table11[[#This Row],[Franchisee]],'Rates from Tracker'!C:D,2,0)</f>
        <v>Patel</v>
      </c>
      <c r="J208" s="10">
        <f>ROUND(IF(Table11[[#This Row],[Location]]="Belmont Market",Table11[[#This Row],[Column2]]*0.01,IF(Table11[[#This Row],[Location]]="Country Club Centre",Table11[[#This Row],[Column2]]*0.01,IF(Table11[[#This Row],[Location]]="Naval Air Station Norfolk",Table11[[#This Row],[Column2]]*0.005,F208*0.02))),2)</f>
        <v>46.43</v>
      </c>
      <c r="K20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08" s="11">
        <f t="shared" si="8"/>
        <v>23.22</v>
      </c>
      <c r="M208" s="10">
        <f t="shared" si="9"/>
        <v>69.650000000000006</v>
      </c>
    </row>
    <row r="209" spans="1:13" x14ac:dyDescent="0.25">
      <c r="A209" s="143" t="str">
        <f>IF(Table11[[#This Row],[Date]]=0,"",IF(Table11[[#This Row],[Date]]&lt;(Summary!$B$3-6),1,""))</f>
        <v/>
      </c>
      <c r="B209" s="127">
        <v>46269</v>
      </c>
      <c r="C209" s="16">
        <v>421</v>
      </c>
      <c r="D209" s="16" t="s">
        <v>575</v>
      </c>
      <c r="E209" s="17">
        <v>2876.69</v>
      </c>
      <c r="F209" s="17">
        <v>2812.5</v>
      </c>
      <c r="G209" s="10" t="str">
        <f>VLOOKUP(Table11[[#This Row],[Store]],'Rates from Tracker'!A:B,2,0)</f>
        <v>Fort Union</v>
      </c>
      <c r="H209" t="str">
        <f>VLOOKUP(D209,'Rates from Tracker'!A:C,3,0)</f>
        <v>SSR Holdings LLC</v>
      </c>
      <c r="I209" t="str">
        <f>VLOOKUP(Table11[[#This Row],[Franchisee]],'Rates from Tracker'!C:D,2,0)</f>
        <v>Bikram</v>
      </c>
      <c r="J209" s="10">
        <f>ROUND(IF(Table11[[#This Row],[Location]]="Belmont Market",Table11[[#This Row],[Column2]]*0.01,IF(Table11[[#This Row],[Location]]="Country Club Centre",Table11[[#This Row],[Column2]]*0.01,IF(Table11[[#This Row],[Location]]="Naval Air Station Norfolk",Table11[[#This Row],[Column2]]*0.005,F209*0.02))),2)</f>
        <v>56.25</v>
      </c>
      <c r="K20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09" s="11">
        <f t="shared" si="8"/>
        <v>28.13</v>
      </c>
      <c r="M209" s="10">
        <f t="shared" si="9"/>
        <v>84.38</v>
      </c>
    </row>
    <row r="210" spans="1:13" x14ac:dyDescent="0.25">
      <c r="A210" s="143" t="str">
        <f>IF(Table11[[#This Row],[Date]]=0,"",IF(Table11[[#This Row],[Date]]&lt;(Summary!$B$3-6),1,""))</f>
        <v/>
      </c>
      <c r="B210" s="127">
        <v>46269</v>
      </c>
      <c r="C210" s="16">
        <v>425</v>
      </c>
      <c r="D210" s="16" t="s">
        <v>381</v>
      </c>
      <c r="E210" s="17">
        <v>4561.99</v>
      </c>
      <c r="F210" s="17">
        <v>4443.04</v>
      </c>
      <c r="G210" s="10" t="str">
        <f>VLOOKUP(Table11[[#This Row],[Store]],'Rates from Tracker'!A:B,2,0)</f>
        <v>Crown Point</v>
      </c>
      <c r="H210" t="str">
        <f>VLOOKUP(D210,'Rates from Tracker'!A:C,3,0)</f>
        <v>Best Pizza LLC</v>
      </c>
      <c r="I210" t="str">
        <f>VLOOKUP(Table11[[#This Row],[Franchisee]],'Rates from Tracker'!C:D,2,0)</f>
        <v>Merullo</v>
      </c>
      <c r="J210" s="10">
        <f>ROUND(IF(Table11[[#This Row],[Location]]="Belmont Market",Table11[[#This Row],[Column2]]*0.01,IF(Table11[[#This Row],[Location]]="Country Club Centre",Table11[[#This Row],[Column2]]*0.01,IF(Table11[[#This Row],[Location]]="Naval Air Station Norfolk",Table11[[#This Row],[Column2]]*0.005,F210*0.02))),2)</f>
        <v>88.86</v>
      </c>
      <c r="K21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10" s="11">
        <f t="shared" si="8"/>
        <v>222.15</v>
      </c>
      <c r="M210" s="10">
        <f t="shared" si="9"/>
        <v>311.01</v>
      </c>
    </row>
    <row r="211" spans="1:13" x14ac:dyDescent="0.25">
      <c r="A211" s="143" t="str">
        <f>IF(Table11[[#This Row],[Date]]=0,"",IF(Table11[[#This Row],[Date]]&lt;(Summary!$B$3-6),1,""))</f>
        <v/>
      </c>
      <c r="B211" s="127">
        <v>46269</v>
      </c>
      <c r="C211" s="16">
        <v>429</v>
      </c>
      <c r="D211" s="16" t="s">
        <v>587</v>
      </c>
      <c r="E211" s="17">
        <v>2558.09</v>
      </c>
      <c r="F211" s="17">
        <v>2495.5300000000002</v>
      </c>
      <c r="G211" s="10" t="str">
        <f>VLOOKUP(Table11[[#This Row],[Store]],'Rates from Tracker'!A:B,2,0)</f>
        <v>South Jordan</v>
      </c>
      <c r="H211" t="str">
        <f>VLOOKUP(D211,'Rates from Tracker'!A:C,3,0)</f>
        <v>SSR Holdings LLC</v>
      </c>
      <c r="I211" t="str">
        <f>VLOOKUP(Table11[[#This Row],[Franchisee]],'Rates from Tracker'!C:D,2,0)</f>
        <v>Bikram</v>
      </c>
      <c r="J211" s="10">
        <f>ROUND(IF(Table11[[#This Row],[Location]]="Belmont Market",Table11[[#This Row],[Column2]]*0.01,IF(Table11[[#This Row],[Location]]="Country Club Centre",Table11[[#This Row],[Column2]]*0.01,IF(Table11[[#This Row],[Location]]="Naval Air Station Norfolk",Table11[[#This Row],[Column2]]*0.005,F211*0.02))),2)</f>
        <v>49.91</v>
      </c>
      <c r="K21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11" s="11">
        <f t="shared" si="8"/>
        <v>24.96</v>
      </c>
      <c r="M211" s="10">
        <f t="shared" si="9"/>
        <v>74.87</v>
      </c>
    </row>
    <row r="212" spans="1:13" x14ac:dyDescent="0.25">
      <c r="A212" s="143" t="str">
        <f>IF(Table11[[#This Row],[Date]]=0,"",IF(Table11[[#This Row],[Date]]&lt;(Summary!$B$3-6),1,""))</f>
        <v/>
      </c>
      <c r="B212" s="127">
        <v>46269</v>
      </c>
      <c r="C212" s="16">
        <v>433</v>
      </c>
      <c r="D212" s="16" t="s">
        <v>576</v>
      </c>
      <c r="E212" s="17">
        <v>3610.48</v>
      </c>
      <c r="F212" s="17">
        <v>3566.68</v>
      </c>
      <c r="G212" s="10" t="str">
        <f>VLOOKUP(Table11[[#This Row],[Store]],'Rates from Tracker'!A:B,2,0)</f>
        <v>Grants Pass</v>
      </c>
      <c r="H212" t="str">
        <f>VLOOKUP(D212,'Rates from Tracker'!A:C,3,0)</f>
        <v>SSR Holdings LLC</v>
      </c>
      <c r="I212" t="str">
        <f>VLOOKUP(Table11[[#This Row],[Franchisee]],'Rates from Tracker'!C:D,2,0)</f>
        <v>Bikram</v>
      </c>
      <c r="J212" s="10">
        <f>ROUND(IF(Table11[[#This Row],[Location]]="Belmont Market",Table11[[#This Row],[Column2]]*0.01,IF(Table11[[#This Row],[Location]]="Country Club Centre",Table11[[#This Row],[Column2]]*0.01,IF(Table11[[#This Row],[Location]]="Naval Air Station Norfolk",Table11[[#This Row],[Column2]]*0.005,F212*0.02))),2)</f>
        <v>71.33</v>
      </c>
      <c r="K21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12" s="11">
        <f t="shared" si="8"/>
        <v>35.67</v>
      </c>
      <c r="M212" s="10">
        <f t="shared" si="9"/>
        <v>107</v>
      </c>
    </row>
    <row r="213" spans="1:13" x14ac:dyDescent="0.25">
      <c r="A213" s="143" t="str">
        <f>IF(Table11[[#This Row],[Date]]=0,"",IF(Table11[[#This Row],[Date]]&lt;(Summary!$B$3-6),1,""))</f>
        <v/>
      </c>
      <c r="B213" s="127">
        <v>46269</v>
      </c>
      <c r="C213" s="16">
        <v>452</v>
      </c>
      <c r="D213" s="16" t="s">
        <v>346</v>
      </c>
      <c r="E213" s="17">
        <v>1933.6</v>
      </c>
      <c r="F213" s="17">
        <v>1897.96</v>
      </c>
      <c r="G213" s="10" t="str">
        <f>VLOOKUP(Table11[[#This Row],[Store]],'Rates from Tracker'!A:B,2,0)</f>
        <v>Mobile</v>
      </c>
      <c r="H213" t="str">
        <f>VLOOKUP(D213,'Rates from Tracker'!A:C,3,0)</f>
        <v>MAA MELDI 3980 Inc</v>
      </c>
      <c r="I213" t="str">
        <f>VLOOKUP(Table11[[#This Row],[Franchisee]],'Rates from Tracker'!C:D,2,0)</f>
        <v>Neal Patel</v>
      </c>
      <c r="J213" s="10">
        <f>ROUND(IF(Table11[[#This Row],[Location]]="Belmont Market",Table11[[#This Row],[Column2]]*0.01,IF(Table11[[#This Row],[Location]]="Country Club Centre",Table11[[#This Row],[Column2]]*0.01,IF(Table11[[#This Row],[Location]]="Naval Air Station Norfolk",Table11[[#This Row],[Column2]]*0.005,F213*0.02))),2)</f>
        <v>37.96</v>
      </c>
      <c r="K21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13" s="11">
        <f t="shared" si="8"/>
        <v>18.98</v>
      </c>
      <c r="M213" s="10">
        <f t="shared" si="9"/>
        <v>56.94</v>
      </c>
    </row>
    <row r="214" spans="1:13" x14ac:dyDescent="0.25">
      <c r="A214" s="143" t="str">
        <f>IF(Table11[[#This Row],[Date]]=0,"",IF(Table11[[#This Row],[Date]]&lt;(Summary!$B$3-6),1,""))</f>
        <v/>
      </c>
      <c r="B214" s="127">
        <v>46269</v>
      </c>
      <c r="C214" s="16">
        <v>478</v>
      </c>
      <c r="D214" s="16" t="s">
        <v>581</v>
      </c>
      <c r="E214" s="17">
        <v>1822.07</v>
      </c>
      <c r="F214" s="17">
        <v>1784.97</v>
      </c>
      <c r="G214" s="10" t="str">
        <f>VLOOKUP(Table11[[#This Row],[Store]],'Rates from Tracker'!A:B,2,0)</f>
        <v>Pocatello</v>
      </c>
      <c r="H214" t="str">
        <f>VLOOKUP(D214,'Rates from Tracker'!A:C,3,0)</f>
        <v>SSR Holdings LLC</v>
      </c>
      <c r="I214" t="str">
        <f>VLOOKUP(Table11[[#This Row],[Franchisee]],'Rates from Tracker'!C:D,2,0)</f>
        <v>Bikram</v>
      </c>
      <c r="J214" s="10">
        <f>ROUND(IF(Table11[[#This Row],[Location]]="Belmont Market",Table11[[#This Row],[Column2]]*0.01,IF(Table11[[#This Row],[Location]]="Country Club Centre",Table11[[#This Row],[Column2]]*0.01,IF(Table11[[#This Row],[Location]]="Naval Air Station Norfolk",Table11[[#This Row],[Column2]]*0.005,F214*0.02))),2)</f>
        <v>35.700000000000003</v>
      </c>
      <c r="K21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14" s="11">
        <f t="shared" si="8"/>
        <v>17.850000000000001</v>
      </c>
      <c r="M214" s="10">
        <f t="shared" si="9"/>
        <v>53.550000000000004</v>
      </c>
    </row>
    <row r="215" spans="1:13" x14ac:dyDescent="0.25">
      <c r="A215" s="143" t="str">
        <f>IF(Table11[[#This Row],[Date]]=0,"",IF(Table11[[#This Row],[Date]]&lt;(Summary!$B$3-6),1,""))</f>
        <v/>
      </c>
      <c r="B215" s="127">
        <v>46269</v>
      </c>
      <c r="C215" s="16">
        <v>514</v>
      </c>
      <c r="D215" s="16" t="s">
        <v>589</v>
      </c>
      <c r="E215" s="17">
        <v>4206.8599999999997</v>
      </c>
      <c r="F215" s="17">
        <v>4125.88</v>
      </c>
      <c r="G215" s="10" t="str">
        <f>VLOOKUP(Table11[[#This Row],[Store]],'Rates from Tracker'!A:B,2,0)</f>
        <v>Spanish Fork</v>
      </c>
      <c r="H215" t="str">
        <f>VLOOKUP(D215,'Rates from Tracker'!A:C,3,0)</f>
        <v>SSR Holdings LLC</v>
      </c>
      <c r="I215" t="str">
        <f>VLOOKUP(Table11[[#This Row],[Franchisee]],'Rates from Tracker'!C:D,2,0)</f>
        <v>Bikram</v>
      </c>
      <c r="J215" s="10">
        <f>ROUND(IF(Table11[[#This Row],[Location]]="Belmont Market",Table11[[#This Row],[Column2]]*0.01,IF(Table11[[#This Row],[Location]]="Country Club Centre",Table11[[#This Row],[Column2]]*0.01,IF(Table11[[#This Row],[Location]]="Naval Air Station Norfolk",Table11[[#This Row],[Column2]]*0.005,F215*0.02))),2)</f>
        <v>82.52</v>
      </c>
      <c r="K21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15" s="11">
        <f t="shared" si="8"/>
        <v>41.26</v>
      </c>
      <c r="M215" s="10">
        <f t="shared" si="9"/>
        <v>123.78</v>
      </c>
    </row>
    <row r="216" spans="1:13" x14ac:dyDescent="0.25">
      <c r="A216" s="143" t="str">
        <f>IF(Table11[[#This Row],[Date]]=0,"",IF(Table11[[#This Row],[Date]]&lt;(Summary!$B$3-6),1,""))</f>
        <v/>
      </c>
      <c r="B216" s="127">
        <v>46269</v>
      </c>
      <c r="C216" s="16">
        <v>515</v>
      </c>
      <c r="D216" s="16" t="s">
        <v>574</v>
      </c>
      <c r="E216" s="17">
        <v>2147.5700000000002</v>
      </c>
      <c r="F216" s="17">
        <v>2107</v>
      </c>
      <c r="G216" s="10" t="str">
        <f>VLOOKUP(Table11[[#This Row],[Store]],'Rates from Tracker'!A:B,2,0)</f>
        <v>Downtown Boise</v>
      </c>
      <c r="H216" t="str">
        <f>VLOOKUP(D216,'Rates from Tracker'!A:C,3,0)</f>
        <v>SSR Holdings LLC</v>
      </c>
      <c r="I216" t="str">
        <f>VLOOKUP(Table11[[#This Row],[Franchisee]],'Rates from Tracker'!C:D,2,0)</f>
        <v>Bikram</v>
      </c>
      <c r="J216" s="10">
        <f>ROUND(IF(Table11[[#This Row],[Location]]="Belmont Market",Table11[[#This Row],[Column2]]*0.01,IF(Table11[[#This Row],[Location]]="Country Club Centre",Table11[[#This Row],[Column2]]*0.01,IF(Table11[[#This Row],[Location]]="Naval Air Station Norfolk",Table11[[#This Row],[Column2]]*0.005,F216*0.02))),2)</f>
        <v>42.14</v>
      </c>
      <c r="K21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16" s="11">
        <f t="shared" si="8"/>
        <v>21.07</v>
      </c>
      <c r="M216" s="10">
        <f t="shared" si="9"/>
        <v>63.21</v>
      </c>
    </row>
    <row r="217" spans="1:13" x14ac:dyDescent="0.25">
      <c r="A217" s="143" t="str">
        <f>IF(Table11[[#This Row],[Date]]=0,"",IF(Table11[[#This Row],[Date]]&lt;(Summary!$B$3-6),1,""))</f>
        <v/>
      </c>
      <c r="B217" s="127">
        <v>46269</v>
      </c>
      <c r="C217" s="16">
        <v>521</v>
      </c>
      <c r="D217" s="16" t="s">
        <v>573</v>
      </c>
      <c r="E217" s="17">
        <v>2284.89</v>
      </c>
      <c r="F217" s="17">
        <v>2186.16</v>
      </c>
      <c r="G217" s="10" t="str">
        <f>VLOOKUP(Table11[[#This Row],[Store]],'Rates from Tracker'!A:B,2,0)</f>
        <v>Boise Town Square</v>
      </c>
      <c r="H217" t="str">
        <f>VLOOKUP(D217,'Rates from Tracker'!A:C,3,0)</f>
        <v>SSR Holdings LLC</v>
      </c>
      <c r="I217" t="str">
        <f>VLOOKUP(Table11[[#This Row],[Franchisee]],'Rates from Tracker'!C:D,2,0)</f>
        <v>Bikram</v>
      </c>
      <c r="J217" s="10">
        <f>ROUND(IF(Table11[[#This Row],[Location]]="Belmont Market",Table11[[#This Row],[Column2]]*0.01,IF(Table11[[#This Row],[Location]]="Country Club Centre",Table11[[#This Row],[Column2]]*0.01,IF(Table11[[#This Row],[Location]]="Naval Air Station Norfolk",Table11[[#This Row],[Column2]]*0.005,F217*0.02))),2)</f>
        <v>43.72</v>
      </c>
      <c r="K21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17" s="11">
        <f t="shared" si="8"/>
        <v>21.86</v>
      </c>
      <c r="M217" s="10">
        <f t="shared" si="9"/>
        <v>65.58</v>
      </c>
    </row>
    <row r="218" spans="1:13" x14ac:dyDescent="0.25">
      <c r="A218" s="143" t="str">
        <f>IF(Table11[[#This Row],[Date]]=0,"",IF(Table11[[#This Row],[Date]]&lt;(Summary!$B$3-6),1,""))</f>
        <v/>
      </c>
      <c r="B218" s="127">
        <v>46269</v>
      </c>
      <c r="C218" s="16">
        <v>586</v>
      </c>
      <c r="D218" s="16" t="s">
        <v>453</v>
      </c>
      <c r="E218" s="17">
        <v>5039.0200000000004</v>
      </c>
      <c r="F218" s="17">
        <v>4933.75</v>
      </c>
      <c r="G218" s="10" t="str">
        <f>VLOOKUP(Table11[[#This Row],[Store]],'Rates from Tracker'!A:B,2,0)</f>
        <v>Johnstown</v>
      </c>
      <c r="H218" t="str">
        <f>VLOOKUP(D218,'Rates from Tracker'!A:C,3,0)</f>
        <v>Best Pizza LLC</v>
      </c>
      <c r="I218" t="str">
        <f>VLOOKUP(Table11[[#This Row],[Franchisee]],'Rates from Tracker'!C:D,2,0)</f>
        <v>Merullo</v>
      </c>
      <c r="J218" s="10">
        <f>ROUND(IF(Table11[[#This Row],[Location]]="Belmont Market",Table11[[#This Row],[Column2]]*0.01,IF(Table11[[#This Row],[Location]]="Country Club Centre",Table11[[#This Row],[Column2]]*0.01,IF(Table11[[#This Row],[Location]]="Naval Air Station Norfolk",Table11[[#This Row],[Column2]]*0.005,F218*0.02))),2)</f>
        <v>98.68</v>
      </c>
      <c r="K21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18" s="11">
        <f t="shared" si="8"/>
        <v>246.69</v>
      </c>
      <c r="M218" s="10">
        <f t="shared" si="9"/>
        <v>345.37</v>
      </c>
    </row>
    <row r="219" spans="1:13" x14ac:dyDescent="0.25">
      <c r="A219" s="143" t="str">
        <f>IF(Table11[[#This Row],[Date]]=0,"",IF(Table11[[#This Row],[Date]]&lt;(Summary!$B$3-6),1,""))</f>
        <v/>
      </c>
      <c r="B219" s="127">
        <v>46269</v>
      </c>
      <c r="C219" s="16">
        <v>605</v>
      </c>
      <c r="D219" s="16" t="s">
        <v>501</v>
      </c>
      <c r="E219" s="17">
        <v>4671.88</v>
      </c>
      <c r="F219" s="17">
        <v>4419.84</v>
      </c>
      <c r="G219" s="10" t="str">
        <f>VLOOKUP(Table11[[#This Row],[Store]],'Rates from Tracker'!A:B,2,0)</f>
        <v>Campus Oaks</v>
      </c>
      <c r="H219" t="str">
        <f>VLOOKUP(D219,'Rates from Tracker'!A:C,3,0)</f>
        <v>Exceed Group Campus Oaks</v>
      </c>
      <c r="I219" t="str">
        <f>VLOOKUP(Table11[[#This Row],[Franchisee]],'Rates from Tracker'!C:D,2,0)</f>
        <v>Chawla</v>
      </c>
      <c r="J219" s="10">
        <f>ROUND(IF(Table11[[#This Row],[Location]]="Belmont Market",Table11[[#This Row],[Column2]]*0.01,IF(Table11[[#This Row],[Location]]="Country Club Centre",Table11[[#This Row],[Column2]]*0.01,IF(Table11[[#This Row],[Location]]="Naval Air Station Norfolk",Table11[[#This Row],[Column2]]*0.005,F219*0.02))),2)</f>
        <v>88.4</v>
      </c>
      <c r="K21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19" s="11">
        <f t="shared" si="8"/>
        <v>220.99</v>
      </c>
      <c r="M219" s="10">
        <f t="shared" si="9"/>
        <v>309.39</v>
      </c>
    </row>
    <row r="220" spans="1:13" x14ac:dyDescent="0.25">
      <c r="A220" s="143" t="str">
        <f>IF(Table11[[#This Row],[Date]]=0,"",IF(Table11[[#This Row],[Date]]&lt;(Summary!$B$3-6),1,""))</f>
        <v/>
      </c>
      <c r="B220" s="127">
        <v>46269</v>
      </c>
      <c r="C220" s="16">
        <v>607</v>
      </c>
      <c r="D220" s="16" t="s">
        <v>481</v>
      </c>
      <c r="E220" s="17">
        <v>4733.6899999999996</v>
      </c>
      <c r="F220" s="17">
        <v>4626.87</v>
      </c>
      <c r="G220" s="10" t="str">
        <f>VLOOKUP(Table11[[#This Row],[Store]],'Rates from Tracker'!A:B,2,0)</f>
        <v>Tower</v>
      </c>
      <c r="H220" t="str">
        <f>VLOOKUP(D220,'Rates from Tracker'!A:C,3,0)</f>
        <v>Best Pizza LLC</v>
      </c>
      <c r="I220" t="str">
        <f>VLOOKUP(Table11[[#This Row],[Franchisee]],'Rates from Tracker'!C:D,2,0)</f>
        <v>Merullo</v>
      </c>
      <c r="J220" s="10">
        <f>ROUND(IF(Table11[[#This Row],[Location]]="Belmont Market",Table11[[#This Row],[Column2]]*0.01,IF(Table11[[#This Row],[Location]]="Country Club Centre",Table11[[#This Row],[Column2]]*0.01,IF(Table11[[#This Row],[Location]]="Naval Air Station Norfolk",Table11[[#This Row],[Column2]]*0.005,F220*0.02))),2)</f>
        <v>92.54</v>
      </c>
      <c r="K22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20" s="11">
        <f t="shared" si="8"/>
        <v>231.34</v>
      </c>
      <c r="M220" s="10">
        <f t="shared" si="9"/>
        <v>323.88</v>
      </c>
    </row>
    <row r="221" spans="1:13" x14ac:dyDescent="0.25">
      <c r="A221" s="143" t="str">
        <f>IF(Table11[[#This Row],[Date]]=0,"",IF(Table11[[#This Row],[Date]]&lt;(Summary!$B$3-6),1,""))</f>
        <v/>
      </c>
      <c r="B221" s="127">
        <v>46269</v>
      </c>
      <c r="C221" s="16">
        <v>608</v>
      </c>
      <c r="D221" s="16" t="s">
        <v>488</v>
      </c>
      <c r="E221" s="17">
        <v>4702.9399999999996</v>
      </c>
      <c r="F221" s="17">
        <v>4487.95</v>
      </c>
      <c r="G221" s="10" t="str">
        <f>VLOOKUP(Table11[[#This Row],[Store]],'Rates from Tracker'!A:B,2,0)</f>
        <v>Sheridan Parkway</v>
      </c>
      <c r="H221" t="str">
        <f>VLOOKUP(D221,'Rates from Tracker'!A:C,3,0)</f>
        <v>Best Pizza LLC</v>
      </c>
      <c r="I221" t="str">
        <f>VLOOKUP(Table11[[#This Row],[Franchisee]],'Rates from Tracker'!C:D,2,0)</f>
        <v>Merullo</v>
      </c>
      <c r="J221" s="10">
        <f>ROUND(IF(Table11[[#This Row],[Location]]="Belmont Market",Table11[[#This Row],[Column2]]*0.01,IF(Table11[[#This Row],[Location]]="Country Club Centre",Table11[[#This Row],[Column2]]*0.01,IF(Table11[[#This Row],[Location]]="Naval Air Station Norfolk",Table11[[#This Row],[Column2]]*0.005,F221*0.02))),2)</f>
        <v>89.76</v>
      </c>
      <c r="K22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21" s="11">
        <f t="shared" si="8"/>
        <v>224.4</v>
      </c>
      <c r="M221" s="10">
        <f t="shared" si="9"/>
        <v>314.16000000000003</v>
      </c>
    </row>
    <row r="222" spans="1:13" x14ac:dyDescent="0.25">
      <c r="A222" s="143" t="str">
        <f>IF(Table11[[#This Row],[Date]]=0,"",IF(Table11[[#This Row],[Date]]&lt;(Summary!$B$3-6),1,""))</f>
        <v/>
      </c>
      <c r="B222" s="127">
        <v>46269</v>
      </c>
      <c r="C222" s="16">
        <v>616</v>
      </c>
      <c r="D222" s="16" t="s">
        <v>480</v>
      </c>
      <c r="E222" s="17">
        <v>3451.78</v>
      </c>
      <c r="F222" s="17">
        <v>3380.31</v>
      </c>
      <c r="G222" s="10" t="str">
        <f>VLOOKUP(Table11[[#This Row],[Store]],'Rates from Tracker'!A:B,2,0)</f>
        <v>Eureka</v>
      </c>
      <c r="H222" t="str">
        <f>VLOOKUP(D222,'Rates from Tracker'!A:C,3,0)</f>
        <v>Exceed Group Eureka</v>
      </c>
      <c r="I222" t="str">
        <f>VLOOKUP(Table11[[#This Row],[Franchisee]],'Rates from Tracker'!C:D,2,0)</f>
        <v>Chawla</v>
      </c>
      <c r="J222" s="10">
        <f>ROUND(IF(Table11[[#This Row],[Location]]="Belmont Market",Table11[[#This Row],[Column2]]*0.01,IF(Table11[[#This Row],[Location]]="Country Club Centre",Table11[[#This Row],[Column2]]*0.01,IF(Table11[[#This Row],[Location]]="Naval Air Station Norfolk",Table11[[#This Row],[Column2]]*0.005,F222*0.02))),2)</f>
        <v>67.61</v>
      </c>
      <c r="K22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22" s="11">
        <f t="shared" si="8"/>
        <v>169.02</v>
      </c>
      <c r="M222" s="10">
        <f t="shared" si="9"/>
        <v>236.63</v>
      </c>
    </row>
    <row r="223" spans="1:13" x14ac:dyDescent="0.25">
      <c r="A223" s="143" t="str">
        <f>IF(Table11[[#This Row],[Date]]=0,"",IF(Table11[[#This Row],[Date]]&lt;(Summary!$B$3-6),1,""))</f>
        <v/>
      </c>
      <c r="B223" s="127">
        <v>46269</v>
      </c>
      <c r="C223" s="16">
        <v>617</v>
      </c>
      <c r="D223" s="16" t="s">
        <v>494</v>
      </c>
      <c r="E223" s="17">
        <v>3558.95</v>
      </c>
      <c r="F223" s="17">
        <v>3447.13</v>
      </c>
      <c r="G223" s="10" t="str">
        <f>VLOOKUP(Table11[[#This Row],[Store]],'Rates from Tracker'!A:B,2,0)</f>
        <v>Lowry</v>
      </c>
      <c r="H223" t="str">
        <f>VLOOKUP(D223,'Rates from Tracker'!A:C,3,0)</f>
        <v>Best Pizza LLC</v>
      </c>
      <c r="I223" t="str">
        <f>VLOOKUP(Table11[[#This Row],[Franchisee]],'Rates from Tracker'!C:D,2,0)</f>
        <v>Merullo</v>
      </c>
      <c r="J223" s="10">
        <f>ROUND(IF(Table11[[#This Row],[Location]]="Belmont Market",Table11[[#This Row],[Column2]]*0.01,IF(Table11[[#This Row],[Location]]="Country Club Centre",Table11[[#This Row],[Column2]]*0.01,IF(Table11[[#This Row],[Location]]="Naval Air Station Norfolk",Table11[[#This Row],[Column2]]*0.005,F223*0.02))),2)</f>
        <v>68.94</v>
      </c>
      <c r="K22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23" s="11">
        <f t="shared" si="8"/>
        <v>172.36</v>
      </c>
      <c r="M223" s="10">
        <f t="shared" si="9"/>
        <v>241.3</v>
      </c>
    </row>
    <row r="224" spans="1:13" x14ac:dyDescent="0.25">
      <c r="A224" s="143" t="str">
        <f>IF(Table11[[#This Row],[Date]]=0,"",IF(Table11[[#This Row],[Date]]&lt;(Summary!$B$3-6),1,""))</f>
        <v/>
      </c>
      <c r="B224" s="127">
        <v>46269</v>
      </c>
      <c r="C224" s="16">
        <v>648</v>
      </c>
      <c r="D224" s="16" t="s">
        <v>454</v>
      </c>
      <c r="E224" s="17">
        <v>3478.69</v>
      </c>
      <c r="F224" s="17">
        <v>3352.76</v>
      </c>
      <c r="G224" s="10" t="str">
        <f>VLOOKUP(Table11[[#This Row],[Store]],'Rates from Tracker'!A:B,2,0)</f>
        <v>Belmont Market</v>
      </c>
      <c r="H224" t="str">
        <f>VLOOKUP(D224,'Rates from Tracker'!A:C,3,0)</f>
        <v>V.I. Pizza Belmont</v>
      </c>
      <c r="I224" t="str">
        <f>VLOOKUP(Table11[[#This Row],[Franchisee]],'Rates from Tracker'!C:D,2,0)</f>
        <v>Hayden</v>
      </c>
      <c r="J224" s="10">
        <f>ROUND(IF(Table11[[#This Row],[Location]]="Belmont Market",Table11[[#This Row],[Column2]]*0.01,IF(Table11[[#This Row],[Location]]="Country Club Centre",Table11[[#This Row],[Column2]]*0.01,IF(Table11[[#This Row],[Location]]="Naval Air Station Norfolk",Table11[[#This Row],[Column2]]*0.005,F224*0.02))),2)</f>
        <v>33.53</v>
      </c>
      <c r="K22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224" s="11">
        <f t="shared" si="8"/>
        <v>67.06</v>
      </c>
      <c r="M224" s="10">
        <f t="shared" si="9"/>
        <v>100.59</v>
      </c>
    </row>
    <row r="225" spans="1:13" x14ac:dyDescent="0.25">
      <c r="A225" s="143" t="str">
        <f>IF(Table11[[#This Row],[Date]]=0,"",IF(Table11[[#This Row],[Date]]&lt;(Summary!$B$3-6),1,""))</f>
        <v/>
      </c>
      <c r="B225" s="127">
        <v>46269</v>
      </c>
      <c r="C225" s="16">
        <v>659</v>
      </c>
      <c r="D225" s="16" t="s">
        <v>570</v>
      </c>
      <c r="E225" s="17">
        <v>2444.4899999999998</v>
      </c>
      <c r="F225" s="17">
        <v>2400.86</v>
      </c>
      <c r="G225" s="10" t="str">
        <f>VLOOKUP(Table11[[#This Row],[Store]],'Rates from Tracker'!A:B,2,0)</f>
        <v>Ammon</v>
      </c>
      <c r="H225" t="str">
        <f>VLOOKUP(D225,'Rates from Tracker'!A:C,3,0)</f>
        <v>SSR Holdings LLC</v>
      </c>
      <c r="I225" t="str">
        <f>VLOOKUP(Table11[[#This Row],[Franchisee]],'Rates from Tracker'!C:D,2,0)</f>
        <v>Bikram</v>
      </c>
      <c r="J225" s="10">
        <f>ROUND(IF(Table11[[#This Row],[Location]]="Belmont Market",Table11[[#This Row],[Column2]]*0.01,IF(Table11[[#This Row],[Location]]="Country Club Centre",Table11[[#This Row],[Column2]]*0.01,IF(Table11[[#This Row],[Location]]="Naval Air Station Norfolk",Table11[[#This Row],[Column2]]*0.005,F225*0.02))),2)</f>
        <v>48.02</v>
      </c>
      <c r="K22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25" s="11">
        <f t="shared" si="8"/>
        <v>24.01</v>
      </c>
      <c r="M225" s="10">
        <f t="shared" si="9"/>
        <v>72.03</v>
      </c>
    </row>
    <row r="226" spans="1:13" x14ac:dyDescent="0.25">
      <c r="A226" s="143" t="str">
        <f>IF(Table11[[#This Row],[Date]]=0,"",IF(Table11[[#This Row],[Date]]&lt;(Summary!$B$3-6),1,""))</f>
        <v/>
      </c>
      <c r="B226" s="127">
        <v>46269</v>
      </c>
      <c r="C226" s="16">
        <v>699</v>
      </c>
      <c r="D226" s="16" t="s">
        <v>521</v>
      </c>
      <c r="E226" s="17">
        <v>3046.11</v>
      </c>
      <c r="F226" s="17">
        <v>2798.33</v>
      </c>
      <c r="G226" s="10" t="str">
        <f>VLOOKUP(Table11[[#This Row],[Store]],'Rates from Tracker'!A:B,2,0)</f>
        <v>Grand Junction</v>
      </c>
      <c r="H226" t="str">
        <f>VLOOKUP(D226,'Rates from Tracker'!A:C,3,0)</f>
        <v>Best Pizza LLC</v>
      </c>
      <c r="I226" t="str">
        <f>VLOOKUP(Table11[[#This Row],[Franchisee]],'Rates from Tracker'!C:D,2,0)</f>
        <v>Merullo</v>
      </c>
      <c r="J226" s="10">
        <f>ROUND(IF(Table11[[#This Row],[Location]]="Belmont Market",Table11[[#This Row],[Column2]]*0.01,IF(Table11[[#This Row],[Location]]="Country Club Centre",Table11[[#This Row],[Column2]]*0.01,IF(Table11[[#This Row],[Location]]="Naval Air Station Norfolk",Table11[[#This Row],[Column2]]*0.005,F226*0.02))),2)</f>
        <v>55.97</v>
      </c>
      <c r="K22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26" s="11">
        <f t="shared" si="8"/>
        <v>139.91999999999999</v>
      </c>
      <c r="M226" s="10">
        <f t="shared" si="9"/>
        <v>195.89</v>
      </c>
    </row>
    <row r="227" spans="1:13" x14ac:dyDescent="0.25">
      <c r="A227" s="143" t="str">
        <f>IF(Table11[[#This Row],[Date]]=0,"",IF(Table11[[#This Row],[Date]]&lt;(Summary!$B$3-6),1,""))</f>
        <v/>
      </c>
      <c r="B227" s="127">
        <v>46269</v>
      </c>
      <c r="C227" s="16">
        <v>711</v>
      </c>
      <c r="D227" s="16" t="s">
        <v>526</v>
      </c>
      <c r="E227" s="17">
        <v>1493.41</v>
      </c>
      <c r="F227" s="17">
        <v>1395.76</v>
      </c>
      <c r="G227" s="10" t="str">
        <f>VLOOKUP(Table11[[#This Row],[Store]],'Rates from Tracker'!A:B,2,0)</f>
        <v>Country Club Centre</v>
      </c>
      <c r="H227" t="str">
        <f>VLOOKUP(D227,'Rates from Tracker'!A:C,3,0)</f>
        <v>V.I. Pizza Country Club</v>
      </c>
      <c r="I227" t="str">
        <f>VLOOKUP(Table11[[#This Row],[Franchisee]],'Rates from Tracker'!C:D,2,0)</f>
        <v>Hayden</v>
      </c>
      <c r="J227" s="10">
        <f>ROUND(IF(Table11[[#This Row],[Location]]="Belmont Market",Table11[[#This Row],[Column2]]*0.01,IF(Table11[[#This Row],[Location]]="Country Club Centre",Table11[[#This Row],[Column2]]*0.01,IF(Table11[[#This Row],[Location]]="Naval Air Station Norfolk",Table11[[#This Row],[Column2]]*0.005,F227*0.02))),2)</f>
        <v>13.96</v>
      </c>
      <c r="K22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27" s="11">
        <f t="shared" si="8"/>
        <v>13.96</v>
      </c>
      <c r="M227" s="10">
        <f t="shared" si="9"/>
        <v>27.92</v>
      </c>
    </row>
    <row r="228" spans="1:13" x14ac:dyDescent="0.25">
      <c r="A228" s="143" t="str">
        <f>IF(Table11[[#This Row],[Date]]=0,"",IF(Table11[[#This Row],[Date]]&lt;(Summary!$B$3-6),1,""))</f>
        <v/>
      </c>
      <c r="B228" s="127">
        <v>46269</v>
      </c>
      <c r="C228" s="16">
        <v>722</v>
      </c>
      <c r="D228" s="16" t="s">
        <v>535</v>
      </c>
      <c r="E228" s="17">
        <v>3635.71</v>
      </c>
      <c r="F228" s="17">
        <v>3543.12</v>
      </c>
      <c r="G228" s="10" t="str">
        <f>VLOOKUP(Table11[[#This Row],[Store]],'Rates from Tracker'!A:B,2,0)</f>
        <v>Creekwalk</v>
      </c>
      <c r="H228" t="str">
        <f>VLOOKUP(D228,'Rates from Tracker'!A:C,3,0)</f>
        <v>Best Pizza LLC</v>
      </c>
      <c r="I228" t="str">
        <f>VLOOKUP(Table11[[#This Row],[Franchisee]],'Rates from Tracker'!C:D,2,0)</f>
        <v>Merullo</v>
      </c>
      <c r="J228" s="10">
        <f>ROUND(IF(Table11[[#This Row],[Location]]="Belmont Market",Table11[[#This Row],[Column2]]*0.01,IF(Table11[[#This Row],[Location]]="Country Club Centre",Table11[[#This Row],[Column2]]*0.01,IF(Table11[[#This Row],[Location]]="Naval Air Station Norfolk",Table11[[#This Row],[Column2]]*0.005,F228*0.02))),2)</f>
        <v>70.86</v>
      </c>
      <c r="K22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228" s="11">
        <f t="shared" si="8"/>
        <v>70.86</v>
      </c>
      <c r="M228" s="10">
        <f t="shared" si="9"/>
        <v>141.72</v>
      </c>
    </row>
    <row r="229" spans="1:13" x14ac:dyDescent="0.25">
      <c r="A229" s="143" t="str">
        <f>IF(Table11[[#This Row],[Date]]=0,"",IF(Table11[[#This Row],[Date]]&lt;(Summary!$B$3-6),1,""))</f>
        <v/>
      </c>
      <c r="B229" s="127">
        <v>46269</v>
      </c>
      <c r="C229" s="16">
        <v>731</v>
      </c>
      <c r="D229" s="16" t="s">
        <v>542</v>
      </c>
      <c r="E229" s="17">
        <v>1566.07</v>
      </c>
      <c r="F229" s="17">
        <v>1555.57</v>
      </c>
      <c r="G229" s="10" t="str">
        <f>VLOOKUP(Table11[[#This Row],[Store]],'Rates from Tracker'!A:B,2,0)</f>
        <v>Naval Air Station Norfolk</v>
      </c>
      <c r="H229" t="str">
        <f>VLOOKUP(D229,'Rates from Tracker'!A:C,3,0)</f>
        <v>IDAD-5 Inc</v>
      </c>
      <c r="I229" t="str">
        <f>VLOOKUP(Table11[[#This Row],[Franchisee]],'Rates from Tracker'!C:D,2,0)</f>
        <v>Ingenito</v>
      </c>
      <c r="J229" s="10">
        <f>ROUND(IF(Table11[[#This Row],[Location]]="Belmont Market",Table11[[#This Row],[Column2]]*0.01,IF(Table11[[#This Row],[Location]]="Country Club Centre",Table11[[#This Row],[Column2]]*0.01,IF(Table11[[#This Row],[Location]]="Naval Air Station Norfolk",Table11[[#This Row],[Column2]]*0.005,F229*0.02))),2)</f>
        <v>7.78</v>
      </c>
      <c r="K22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229" s="11">
        <f t="shared" si="8"/>
        <v>31.11</v>
      </c>
      <c r="M229" s="10">
        <f t="shared" si="9"/>
        <v>38.89</v>
      </c>
    </row>
    <row r="230" spans="1:13" x14ac:dyDescent="0.25">
      <c r="A230" s="143" t="str">
        <f>IF(Table11[[#This Row],[Date]]=0,"",IF(Table11[[#This Row],[Date]]&lt;(Summary!$B$3-6),1,""))</f>
        <v/>
      </c>
      <c r="B230" s="127">
        <v>46269</v>
      </c>
      <c r="C230" s="16">
        <v>761</v>
      </c>
      <c r="D230" s="16" t="s">
        <v>584</v>
      </c>
      <c r="E230" s="17">
        <v>2392.36</v>
      </c>
      <c r="F230" s="17">
        <v>2292.7199999999998</v>
      </c>
      <c r="G230" s="10" t="str">
        <f>VLOOKUP(Table11[[#This Row],[Store]],'Rates from Tracker'!A:B,2,0)</f>
        <v>Roseburg</v>
      </c>
      <c r="H230" t="str">
        <f>VLOOKUP(D230,'Rates from Tracker'!A:C,3,0)</f>
        <v>SSR Holdings LLC</v>
      </c>
      <c r="I230" t="str">
        <f>VLOOKUP(Table11[[#This Row],[Franchisee]],'Rates from Tracker'!C:D,2,0)</f>
        <v>Bikram</v>
      </c>
      <c r="J230" s="10">
        <f>ROUND(IF(Table11[[#This Row],[Location]]="Belmont Market",Table11[[#This Row],[Column2]]*0.01,IF(Table11[[#This Row],[Location]]="Country Club Centre",Table11[[#This Row],[Column2]]*0.01,IF(Table11[[#This Row],[Location]]="Naval Air Station Norfolk",Table11[[#This Row],[Column2]]*0.005,F230*0.02))),2)</f>
        <v>45.85</v>
      </c>
      <c r="K23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30" s="11">
        <f t="shared" si="8"/>
        <v>22.93</v>
      </c>
      <c r="M230" s="10">
        <f t="shared" si="9"/>
        <v>68.78</v>
      </c>
    </row>
    <row r="231" spans="1:13" x14ac:dyDescent="0.25">
      <c r="A231" s="143" t="str">
        <f>IF(Table11[[#This Row],[Date]]=0,"",IF(Table11[[#This Row],[Date]]&lt;(Summary!$B$3-6),1,""))</f>
        <v/>
      </c>
      <c r="B231" s="127">
        <v>46269</v>
      </c>
      <c r="C231" s="16">
        <v>777</v>
      </c>
      <c r="D231" s="16" t="s">
        <v>590</v>
      </c>
      <c r="E231" s="17">
        <v>2902.35</v>
      </c>
      <c r="F231" s="17">
        <v>2701.47</v>
      </c>
      <c r="G231" s="10" t="str">
        <f>VLOOKUP(Table11[[#This Row],[Store]],'Rates from Tracker'!A:B,2,0)</f>
        <v>Springfield-Oregon</v>
      </c>
      <c r="H231" t="str">
        <f>VLOOKUP(D231,'Rates from Tracker'!A:C,3,0)</f>
        <v>SSR Holdings LLC</v>
      </c>
      <c r="I231" t="str">
        <f>VLOOKUP(Table11[[#This Row],[Franchisee]],'Rates from Tracker'!C:D,2,0)</f>
        <v>Bikram</v>
      </c>
      <c r="J231" s="10">
        <f>ROUND(IF(Table11[[#This Row],[Location]]="Belmont Market",Table11[[#This Row],[Column2]]*0.01,IF(Table11[[#This Row],[Location]]="Country Club Centre",Table11[[#This Row],[Column2]]*0.01,IF(Table11[[#This Row],[Location]]="Naval Air Station Norfolk",Table11[[#This Row],[Column2]]*0.005,F231*0.02))),2)</f>
        <v>54.03</v>
      </c>
      <c r="K23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31" s="11">
        <f t="shared" si="8"/>
        <v>27.01</v>
      </c>
      <c r="M231" s="10">
        <f t="shared" si="9"/>
        <v>81.040000000000006</v>
      </c>
    </row>
    <row r="232" spans="1:13" x14ac:dyDescent="0.25">
      <c r="A232" s="143" t="str">
        <f>IF(Table11[[#This Row],[Date]]=0,"",IF(Table11[[#This Row],[Date]]&lt;(Summary!$B$3-6),1,""))</f>
        <v/>
      </c>
      <c r="B232" s="127">
        <v>46269</v>
      </c>
      <c r="C232" s="16">
        <v>820</v>
      </c>
      <c r="D232" s="16" t="s">
        <v>538</v>
      </c>
      <c r="E232" s="17">
        <v>5012.24</v>
      </c>
      <c r="F232" s="17">
        <v>4824.63</v>
      </c>
      <c r="G232" s="10" t="str">
        <f>VLOOKUP(Table11[[#This Row],[Store]],'Rates from Tracker'!A:B,2,0)</f>
        <v>Churn Creek</v>
      </c>
      <c r="H232" t="str">
        <f>VLOOKUP(D232,'Rates from Tracker'!A:C,3,0)</f>
        <v>Exceed Group Churn Creek</v>
      </c>
      <c r="I232" t="str">
        <f>VLOOKUP(Table11[[#This Row],[Franchisee]],'Rates from Tracker'!C:D,2,0)</f>
        <v>Chawla</v>
      </c>
      <c r="J232" s="10">
        <f>ROUND(IF(Table11[[#This Row],[Location]]="Belmont Market",Table11[[#This Row],[Column2]]*0.01,IF(Table11[[#This Row],[Location]]="Country Club Centre",Table11[[#This Row],[Column2]]*0.01,IF(Table11[[#This Row],[Location]]="Naval Air Station Norfolk",Table11[[#This Row],[Column2]]*0.005,F232*0.02))),2)</f>
        <v>96.49</v>
      </c>
      <c r="K23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32" s="11">
        <f t="shared" si="8"/>
        <v>241.23</v>
      </c>
      <c r="M232" s="10">
        <f t="shared" si="9"/>
        <v>337.71999999999997</v>
      </c>
    </row>
    <row r="233" spans="1:13" x14ac:dyDescent="0.25">
      <c r="A233" s="143" t="str">
        <f>IF(Table11[[#This Row],[Date]]=0,"",IF(Table11[[#This Row],[Date]]&lt;(Summary!$B$3-6),1,""))</f>
        <v/>
      </c>
      <c r="B233" s="127">
        <v>46268</v>
      </c>
      <c r="C233" s="16">
        <v>21</v>
      </c>
      <c r="D233" s="16" t="s">
        <v>29</v>
      </c>
      <c r="E233" s="17">
        <v>2806.89</v>
      </c>
      <c r="F233" s="17">
        <v>2756.13</v>
      </c>
      <c r="G233" s="10" t="str">
        <f>VLOOKUP(Table11[[#This Row],[Store]],'Rates from Tracker'!A:B,2,0)</f>
        <v>Park Meadows</v>
      </c>
      <c r="H233" t="str">
        <f>VLOOKUP(D233,'Rates from Tracker'!A:C,3,0)</f>
        <v>Best Pizza LLC</v>
      </c>
      <c r="I233" t="str">
        <f>VLOOKUP(Table11[[#This Row],[Franchisee]],'Rates from Tracker'!C:D,2,0)</f>
        <v>Merullo</v>
      </c>
      <c r="J233" s="10">
        <f>ROUND(IF(Table11[[#This Row],[Location]]="Belmont Market",Table11[[#This Row],[Column2]]*0.01,IF(Table11[[#This Row],[Location]]="Country Club Centre",Table11[[#This Row],[Column2]]*0.01,IF(Table11[[#This Row],[Location]]="Naval Air Station Norfolk",Table11[[#This Row],[Column2]]*0.005,F233*0.02))),2)</f>
        <v>55.12</v>
      </c>
      <c r="K23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33" s="11">
        <f t="shared" si="8"/>
        <v>137.81</v>
      </c>
      <c r="M233" s="10">
        <f t="shared" si="9"/>
        <v>192.93</v>
      </c>
    </row>
    <row r="234" spans="1:13" x14ac:dyDescent="0.25">
      <c r="A234" s="143" t="str">
        <f>IF(Table11[[#This Row],[Date]]=0,"",IF(Table11[[#This Row],[Date]]&lt;(Summary!$B$3-6),1,""))</f>
        <v/>
      </c>
      <c r="B234" s="127">
        <v>46268</v>
      </c>
      <c r="C234" s="16">
        <v>47</v>
      </c>
      <c r="D234" s="16" t="s">
        <v>532</v>
      </c>
      <c r="E234" s="17">
        <v>2611.2199999999998</v>
      </c>
      <c r="F234" s="17">
        <v>2522.48</v>
      </c>
      <c r="G234" s="10" t="str">
        <f>VLOOKUP(Table11[[#This Row],[Store]],'Rates from Tracker'!A:B,2,0)</f>
        <v>REDDING</v>
      </c>
      <c r="H234" t="str">
        <f>VLOOKUP(D234,'Rates from Tracker'!A:C,3,0)</f>
        <v>Exceed Group REDDING</v>
      </c>
      <c r="I234" t="str">
        <f>VLOOKUP(Table11[[#This Row],[Franchisee]],'Rates from Tracker'!C:D,2,0)</f>
        <v>Chawla</v>
      </c>
      <c r="J234" s="10">
        <f>ROUND(IF(Table11[[#This Row],[Location]]="Belmont Market",Table11[[#This Row],[Column2]]*0.01,IF(Table11[[#This Row],[Location]]="Country Club Centre",Table11[[#This Row],[Column2]]*0.01,IF(Table11[[#This Row],[Location]]="Naval Air Station Norfolk",Table11[[#This Row],[Column2]]*0.005,F234*0.02))),2)</f>
        <v>50.45</v>
      </c>
      <c r="K23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34" s="11">
        <f t="shared" si="8"/>
        <v>126.12</v>
      </c>
      <c r="M234" s="10">
        <f t="shared" si="9"/>
        <v>176.57</v>
      </c>
    </row>
    <row r="235" spans="1:13" x14ac:dyDescent="0.25">
      <c r="A235" s="143" t="str">
        <f>IF(Table11[[#This Row],[Date]]=0,"",IF(Table11[[#This Row],[Date]]&lt;(Summary!$B$3-6),1,""))</f>
        <v/>
      </c>
      <c r="B235" s="127">
        <v>46268</v>
      </c>
      <c r="C235" s="16">
        <v>55</v>
      </c>
      <c r="D235" s="16" t="s">
        <v>533</v>
      </c>
      <c r="E235" s="17">
        <v>2583.8200000000002</v>
      </c>
      <c r="F235" s="17">
        <v>2488.44</v>
      </c>
      <c r="G235" s="10" t="str">
        <f>VLOOKUP(Table11[[#This Row],[Store]],'Rates from Tracker'!A:B,2,0)</f>
        <v>ROCKLIN</v>
      </c>
      <c r="H235" t="str">
        <f>VLOOKUP(D235,'Rates from Tracker'!A:C,3,0)</f>
        <v>Exceed Group ROCKLIN</v>
      </c>
      <c r="I235" t="str">
        <f>VLOOKUP(Table11[[#This Row],[Franchisee]],'Rates from Tracker'!C:D,2,0)</f>
        <v>Chawla</v>
      </c>
      <c r="J235" s="10">
        <f>ROUND(IF(Table11[[#This Row],[Location]]="Belmont Market",Table11[[#This Row],[Column2]]*0.01,IF(Table11[[#This Row],[Location]]="Country Club Centre",Table11[[#This Row],[Column2]]*0.01,IF(Table11[[#This Row],[Location]]="Naval Air Station Norfolk",Table11[[#This Row],[Column2]]*0.005,F235*0.02))),2)</f>
        <v>49.77</v>
      </c>
      <c r="K23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35" s="11">
        <f t="shared" si="8"/>
        <v>124.42</v>
      </c>
      <c r="M235" s="10">
        <f t="shared" si="9"/>
        <v>174.19</v>
      </c>
    </row>
    <row r="236" spans="1:13" x14ac:dyDescent="0.25">
      <c r="A236" s="143" t="str">
        <f>IF(Table11[[#This Row],[Date]]=0,"",IF(Table11[[#This Row],[Date]]&lt;(Summary!$B$3-6),1,""))</f>
        <v/>
      </c>
      <c r="B236" s="127">
        <v>46268</v>
      </c>
      <c r="C236" s="16">
        <v>56</v>
      </c>
      <c r="D236" s="16" t="s">
        <v>534</v>
      </c>
      <c r="E236" s="17">
        <v>3454.23</v>
      </c>
      <c r="F236" s="17">
        <v>3364.17</v>
      </c>
      <c r="G236" s="10" t="str">
        <f>VLOOKUP(Table11[[#This Row],[Store]],'Rates from Tracker'!A:B,2,0)</f>
        <v>LIVONIA</v>
      </c>
      <c r="H236" t="str">
        <f>VLOOKUP(D236,'Rates from Tracker'!A:C,3,0)</f>
        <v>TSFR Pizza LLC</v>
      </c>
      <c r="I236" t="str">
        <f>VLOOKUP(Table11[[#This Row],[Franchisee]],'Rates from Tracker'!C:D,2,0)</f>
        <v>Schostak</v>
      </c>
      <c r="J236" s="10">
        <f>ROUND(IF(Table11[[#This Row],[Location]]="Belmont Market",Table11[[#This Row],[Column2]]*0.01,IF(Table11[[#This Row],[Location]]="Country Club Centre",Table11[[#This Row],[Column2]]*0.01,IF(Table11[[#This Row],[Location]]="Naval Air Station Norfolk",Table11[[#This Row],[Column2]]*0.005,F236*0.02))),2)</f>
        <v>67.28</v>
      </c>
      <c r="K23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36" s="11">
        <f t="shared" si="8"/>
        <v>168.21</v>
      </c>
      <c r="M236" s="10">
        <f t="shared" si="9"/>
        <v>235.49</v>
      </c>
    </row>
    <row r="237" spans="1:13" x14ac:dyDescent="0.25">
      <c r="A237" s="143" t="str">
        <f>IF(Table11[[#This Row],[Date]]=0,"",IF(Table11[[#This Row],[Date]]&lt;(Summary!$B$3-6),1,""))</f>
        <v/>
      </c>
      <c r="B237" s="127">
        <v>46268</v>
      </c>
      <c r="C237" s="16">
        <v>77</v>
      </c>
      <c r="D237" s="16" t="s">
        <v>11</v>
      </c>
      <c r="E237" s="17">
        <v>1829.83</v>
      </c>
      <c r="F237" s="17">
        <v>1775.77</v>
      </c>
      <c r="G237" s="10" t="str">
        <f>VLOOKUP(Table11[[#This Row],[Store]],'Rates from Tracker'!A:B,2,0)</f>
        <v>Falcon Landing</v>
      </c>
      <c r="H237" t="str">
        <f>VLOOKUP(D237,'Rates from Tracker'!A:C,3,0)</f>
        <v>Best Pizza LLC</v>
      </c>
      <c r="I237" t="str">
        <f>VLOOKUP(Table11[[#This Row],[Franchisee]],'Rates from Tracker'!C:D,2,0)</f>
        <v>Merullo</v>
      </c>
      <c r="J237" s="10">
        <f>ROUND(IF(Table11[[#This Row],[Location]]="Belmont Market",Table11[[#This Row],[Column2]]*0.01,IF(Table11[[#This Row],[Location]]="Country Club Centre",Table11[[#This Row],[Column2]]*0.01,IF(Table11[[#This Row],[Location]]="Naval Air Station Norfolk",Table11[[#This Row],[Column2]]*0.005,F237*0.02))),2)</f>
        <v>35.520000000000003</v>
      </c>
      <c r="K23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37" s="11">
        <f t="shared" si="8"/>
        <v>88.79</v>
      </c>
      <c r="M237" s="10">
        <f t="shared" si="9"/>
        <v>124.31</v>
      </c>
    </row>
    <row r="238" spans="1:13" x14ac:dyDescent="0.25">
      <c r="A238" s="143" t="str">
        <f>IF(Table11[[#This Row],[Date]]=0,"",IF(Table11[[#This Row],[Date]]&lt;(Summary!$B$3-6),1,""))</f>
        <v/>
      </c>
      <c r="B238" s="127">
        <v>46268</v>
      </c>
      <c r="C238" s="16">
        <v>93</v>
      </c>
      <c r="D238" s="16" t="s">
        <v>5</v>
      </c>
      <c r="E238" s="17">
        <v>4909.68</v>
      </c>
      <c r="F238" s="17">
        <v>4826.58</v>
      </c>
      <c r="G238" s="10" t="str">
        <f>VLOOKUP(Table11[[#This Row],[Store]],'Rates from Tracker'!A:B,2,0)</f>
        <v>Brighton</v>
      </c>
      <c r="H238" t="str">
        <f>VLOOKUP(D238,'Rates from Tracker'!A:C,3,0)</f>
        <v>TSFR Pizza LLC</v>
      </c>
      <c r="I238" t="str">
        <f>VLOOKUP(Table11[[#This Row],[Franchisee]],'Rates from Tracker'!C:D,2,0)</f>
        <v>Schostak</v>
      </c>
      <c r="J238" s="10">
        <f>ROUND(IF(Table11[[#This Row],[Location]]="Belmont Market",Table11[[#This Row],[Column2]]*0.01,IF(Table11[[#This Row],[Location]]="Country Club Centre",Table11[[#This Row],[Column2]]*0.01,IF(Table11[[#This Row],[Location]]="Naval Air Station Norfolk",Table11[[#This Row],[Column2]]*0.005,F238*0.02))),2)</f>
        <v>96.53</v>
      </c>
      <c r="K23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38" s="11">
        <f t="shared" si="8"/>
        <v>241.33</v>
      </c>
      <c r="M238" s="10">
        <f t="shared" si="9"/>
        <v>337.86</v>
      </c>
    </row>
    <row r="239" spans="1:13" x14ac:dyDescent="0.25">
      <c r="A239" s="143" t="str">
        <f>IF(Table11[[#This Row],[Date]]=0,"",IF(Table11[[#This Row],[Date]]&lt;(Summary!$B$3-6),1,""))</f>
        <v/>
      </c>
      <c r="B239" s="127">
        <v>46268</v>
      </c>
      <c r="C239" s="16">
        <v>94</v>
      </c>
      <c r="D239" s="16" t="s">
        <v>7</v>
      </c>
      <c r="E239" s="17">
        <v>3356.84</v>
      </c>
      <c r="F239" s="17">
        <v>3239.24</v>
      </c>
      <c r="G239" s="10" t="str">
        <f>VLOOKUP(Table11[[#This Row],[Store]],'Rates from Tracker'!A:B,2,0)</f>
        <v>Castle Rock</v>
      </c>
      <c r="H239" t="str">
        <f>VLOOKUP(D239,'Rates from Tracker'!A:C,3,0)</f>
        <v>Best Pizza LLC</v>
      </c>
      <c r="I239" t="str">
        <f>VLOOKUP(Table11[[#This Row],[Franchisee]],'Rates from Tracker'!C:D,2,0)</f>
        <v>Merullo</v>
      </c>
      <c r="J239" s="10">
        <f>ROUND(IF(Table11[[#This Row],[Location]]="Belmont Market",Table11[[#This Row],[Column2]]*0.01,IF(Table11[[#This Row],[Location]]="Country Club Centre",Table11[[#This Row],[Column2]]*0.01,IF(Table11[[#This Row],[Location]]="Naval Air Station Norfolk",Table11[[#This Row],[Column2]]*0.005,F239*0.02))),2)</f>
        <v>64.78</v>
      </c>
      <c r="K23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39" s="11">
        <f t="shared" si="8"/>
        <v>161.96</v>
      </c>
      <c r="M239" s="10">
        <f t="shared" si="9"/>
        <v>226.74</v>
      </c>
    </row>
    <row r="240" spans="1:13" x14ac:dyDescent="0.25">
      <c r="A240" s="143" t="str">
        <f>IF(Table11[[#This Row],[Date]]=0,"",IF(Table11[[#This Row],[Date]]&lt;(Summary!$B$3-6),1,""))</f>
        <v/>
      </c>
      <c r="B240" s="127">
        <v>46268</v>
      </c>
      <c r="C240" s="16">
        <v>100</v>
      </c>
      <c r="D240" s="16" t="s">
        <v>17</v>
      </c>
      <c r="E240" s="17">
        <v>3776.49</v>
      </c>
      <c r="F240" s="17">
        <v>3740.95</v>
      </c>
      <c r="G240" s="10" t="str">
        <f>VLOOKUP(Table11[[#This Row],[Store]],'Rates from Tracker'!A:B,2,0)</f>
        <v>Howe Bout Arden</v>
      </c>
      <c r="H240" t="str">
        <f>VLOOKUP(D240,'Rates from Tracker'!A:C,3,0)</f>
        <v>Exceed Group Howe Bout Arden</v>
      </c>
      <c r="I240" t="str">
        <f>VLOOKUP(Table11[[#This Row],[Franchisee]],'Rates from Tracker'!C:D,2,0)</f>
        <v>Chawla</v>
      </c>
      <c r="J240" s="10">
        <f>ROUND(IF(Table11[[#This Row],[Location]]="Belmont Market",Table11[[#This Row],[Column2]]*0.01,IF(Table11[[#This Row],[Location]]="Country Club Centre",Table11[[#This Row],[Column2]]*0.01,IF(Table11[[#This Row],[Location]]="Naval Air Station Norfolk",Table11[[#This Row],[Column2]]*0.005,F240*0.02))),2)</f>
        <v>74.819999999999993</v>
      </c>
      <c r="K24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40" s="11">
        <f t="shared" si="8"/>
        <v>187.05</v>
      </c>
      <c r="M240" s="10">
        <f t="shared" si="9"/>
        <v>261.87</v>
      </c>
    </row>
    <row r="241" spans="1:13" x14ac:dyDescent="0.25">
      <c r="A241" s="143" t="str">
        <f>IF(Table11[[#This Row],[Date]]=0,"",IF(Table11[[#This Row],[Date]]&lt;(Summary!$B$3-6),1,""))</f>
        <v/>
      </c>
      <c r="B241" s="127">
        <v>46268</v>
      </c>
      <c r="C241" s="16">
        <v>126</v>
      </c>
      <c r="D241" s="16" t="s">
        <v>571</v>
      </c>
      <c r="E241" s="17">
        <v>3436.78</v>
      </c>
      <c r="F241" s="17">
        <v>3289.13</v>
      </c>
      <c r="G241" s="10" t="str">
        <f>VLOOKUP(Table11[[#This Row],[Store]],'Rates from Tracker'!A:B,2,0)</f>
        <v>Bend</v>
      </c>
      <c r="H241" t="str">
        <f>VLOOKUP(D241,'Rates from Tracker'!A:C,3,0)</f>
        <v>SSR Holdings LLC</v>
      </c>
      <c r="I241" t="str">
        <f>VLOOKUP(Table11[[#This Row],[Franchisee]],'Rates from Tracker'!C:D,2,0)</f>
        <v>Bikram</v>
      </c>
      <c r="J241" s="10">
        <f>ROUND(IF(Table11[[#This Row],[Location]]="Belmont Market",Table11[[#This Row],[Column2]]*0.01,IF(Table11[[#This Row],[Location]]="Country Club Centre",Table11[[#This Row],[Column2]]*0.01,IF(Table11[[#This Row],[Location]]="Naval Air Station Norfolk",Table11[[#This Row],[Column2]]*0.005,F241*0.02))),2)</f>
        <v>65.78</v>
      </c>
      <c r="K24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41" s="11">
        <f t="shared" si="8"/>
        <v>32.89</v>
      </c>
      <c r="M241" s="10">
        <f t="shared" si="9"/>
        <v>98.67</v>
      </c>
    </row>
    <row r="242" spans="1:13" x14ac:dyDescent="0.25">
      <c r="A242" s="143" t="str">
        <f>IF(Table11[[#This Row],[Date]]=0,"",IF(Table11[[#This Row],[Date]]&lt;(Summary!$B$3-6),1,""))</f>
        <v/>
      </c>
      <c r="B242" s="127">
        <v>46268</v>
      </c>
      <c r="C242" s="16">
        <v>133</v>
      </c>
      <c r="D242" s="16" t="s">
        <v>38</v>
      </c>
      <c r="E242" s="17">
        <v>3095.27</v>
      </c>
      <c r="F242" s="17">
        <v>3002.35</v>
      </c>
      <c r="G242" s="10" t="str">
        <f>VLOOKUP(Table11[[#This Row],[Store]],'Rates from Tracker'!A:B,2,0)</f>
        <v>Woodhill</v>
      </c>
      <c r="H242" t="str">
        <f>VLOOKUP(D242,'Rates from Tracker'!A:C,3,0)</f>
        <v>Rolling Dough LLC</v>
      </c>
      <c r="I242" t="str">
        <f>VLOOKUP(Table11[[#This Row],[Franchisee]],'Rates from Tracker'!C:D,2,0)</f>
        <v>Connolly</v>
      </c>
      <c r="J242" s="10">
        <f>ROUND(IF(Table11[[#This Row],[Location]]="Belmont Market",Table11[[#This Row],[Column2]]*0.01,IF(Table11[[#This Row],[Location]]="Country Club Centre",Table11[[#This Row],[Column2]]*0.01,IF(Table11[[#This Row],[Location]]="Naval Air Station Norfolk",Table11[[#This Row],[Column2]]*0.005,F242*0.02))),2)</f>
        <v>60.05</v>
      </c>
      <c r="K24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42" s="11">
        <f t="shared" si="8"/>
        <v>150.12</v>
      </c>
      <c r="M242" s="10">
        <f t="shared" si="9"/>
        <v>210.17000000000002</v>
      </c>
    </row>
    <row r="243" spans="1:13" x14ac:dyDescent="0.25">
      <c r="A243" s="143" t="str">
        <f>IF(Table11[[#This Row],[Date]]=0,"",IF(Table11[[#This Row],[Date]]&lt;(Summary!$B$3-6),1,""))</f>
        <v/>
      </c>
      <c r="B243" s="127">
        <v>46268</v>
      </c>
      <c r="C243" s="16">
        <v>149</v>
      </c>
      <c r="D243" s="16" t="s">
        <v>36</v>
      </c>
      <c r="E243" s="17">
        <v>2285.4699999999998</v>
      </c>
      <c r="F243" s="17">
        <v>2232.59</v>
      </c>
      <c r="G243" s="10" t="str">
        <f>VLOOKUP(Table11[[#This Row],[Store]],'Rates from Tracker'!A:B,2,0)</f>
        <v>Westwood Plaza</v>
      </c>
      <c r="H243" t="str">
        <f>VLOOKUP(D243,'Rates from Tracker'!A:C,3,0)</f>
        <v>Rolling Dough LLC</v>
      </c>
      <c r="I243" t="str">
        <f>VLOOKUP(Table11[[#This Row],[Franchisee]],'Rates from Tracker'!C:D,2,0)</f>
        <v>Connolly</v>
      </c>
      <c r="J243" s="10">
        <f>ROUND(IF(Table11[[#This Row],[Location]]="Belmont Market",Table11[[#This Row],[Column2]]*0.01,IF(Table11[[#This Row],[Location]]="Country Club Centre",Table11[[#This Row],[Column2]]*0.01,IF(Table11[[#This Row],[Location]]="Naval Air Station Norfolk",Table11[[#This Row],[Column2]]*0.005,F243*0.02))),2)</f>
        <v>44.65</v>
      </c>
      <c r="K24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43" s="11">
        <f t="shared" si="8"/>
        <v>111.63</v>
      </c>
      <c r="M243" s="10">
        <f t="shared" si="9"/>
        <v>156.28</v>
      </c>
    </row>
    <row r="244" spans="1:13" x14ac:dyDescent="0.25">
      <c r="A244" s="143" t="str">
        <f>IF(Table11[[#This Row],[Date]]=0,"",IF(Table11[[#This Row],[Date]]&lt;(Summary!$B$3-6),1,""))</f>
        <v/>
      </c>
      <c r="B244" s="127">
        <v>46268</v>
      </c>
      <c r="C244" s="16">
        <v>157</v>
      </c>
      <c r="D244" s="16" t="s">
        <v>15</v>
      </c>
      <c r="E244" s="17">
        <v>3520.25</v>
      </c>
      <c r="F244" s="17">
        <v>3470.02</v>
      </c>
      <c r="G244" s="10" t="str">
        <f>VLOOKUP(Table11[[#This Row],[Store]],'Rates from Tracker'!A:B,2,0)</f>
        <v>Hamburg #6</v>
      </c>
      <c r="H244" t="str">
        <f>VLOOKUP(D244,'Rates from Tracker'!A:C,3,0)</f>
        <v>Cool Dough Development, LLC</v>
      </c>
      <c r="I244" t="str">
        <f>VLOOKUP(Table11[[#This Row],[Franchisee]],'Rates from Tracker'!C:D,2,0)</f>
        <v>Denning</v>
      </c>
      <c r="J244" s="10">
        <f>ROUND(IF(Table11[[#This Row],[Location]]="Belmont Market",Table11[[#This Row],[Column2]]*0.01,IF(Table11[[#This Row],[Location]]="Country Club Centre",Table11[[#This Row],[Column2]]*0.01,IF(Table11[[#This Row],[Location]]="Naval Air Station Norfolk",Table11[[#This Row],[Column2]]*0.005,F244*0.02))),2)</f>
        <v>69.400000000000006</v>
      </c>
      <c r="K24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44" s="11">
        <f t="shared" si="8"/>
        <v>173.5</v>
      </c>
      <c r="M244" s="10">
        <f t="shared" si="9"/>
        <v>242.9</v>
      </c>
    </row>
    <row r="245" spans="1:13" x14ac:dyDescent="0.25">
      <c r="A245" s="143" t="str">
        <f>IF(Table11[[#This Row],[Date]]=0,"",IF(Table11[[#This Row],[Date]]&lt;(Summary!$B$3-6),1,""))</f>
        <v/>
      </c>
      <c r="B245" s="127">
        <v>46268</v>
      </c>
      <c r="C245" s="16">
        <v>158</v>
      </c>
      <c r="D245" s="16" t="s">
        <v>20</v>
      </c>
      <c r="E245" s="17">
        <v>3580.79</v>
      </c>
      <c r="F245" s="17">
        <v>3515.92</v>
      </c>
      <c r="G245" s="10" t="str">
        <f>VLOOKUP(Table11[[#This Row],[Store]],'Rates from Tracker'!A:B,2,0)</f>
        <v>McCaslin Marketplace</v>
      </c>
      <c r="H245" t="str">
        <f>VLOOKUP(D245,'Rates from Tracker'!A:C,3,0)</f>
        <v>Best Pizza LLC</v>
      </c>
      <c r="I245" t="str">
        <f>VLOOKUP(Table11[[#This Row],[Franchisee]],'Rates from Tracker'!C:D,2,0)</f>
        <v>Merullo</v>
      </c>
      <c r="J245" s="10">
        <f>ROUND(IF(Table11[[#This Row],[Location]]="Belmont Market",Table11[[#This Row],[Column2]]*0.01,IF(Table11[[#This Row],[Location]]="Country Club Centre",Table11[[#This Row],[Column2]]*0.01,IF(Table11[[#This Row],[Location]]="Naval Air Station Norfolk",Table11[[#This Row],[Column2]]*0.005,F245*0.02))),2)</f>
        <v>70.319999999999993</v>
      </c>
      <c r="K24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45" s="11">
        <f t="shared" si="8"/>
        <v>175.8</v>
      </c>
      <c r="M245" s="10">
        <f t="shared" si="9"/>
        <v>246.12</v>
      </c>
    </row>
    <row r="246" spans="1:13" x14ac:dyDescent="0.25">
      <c r="A246" s="143" t="str">
        <f>IF(Table11[[#This Row],[Date]]=0,"",IF(Table11[[#This Row],[Date]]&lt;(Summary!$B$3-6),1,""))</f>
        <v/>
      </c>
      <c r="B246" s="127">
        <v>46268</v>
      </c>
      <c r="C246" s="16">
        <v>159</v>
      </c>
      <c r="D246" s="16" t="s">
        <v>24</v>
      </c>
      <c r="E246" s="17">
        <v>1966.36</v>
      </c>
      <c r="F246" s="17">
        <v>1935.73</v>
      </c>
      <c r="G246" s="10" t="str">
        <f>VLOOKUP(Table11[[#This Row],[Store]],'Rates from Tracker'!A:B,2,0)</f>
        <v>North Charleston</v>
      </c>
      <c r="H246" t="str">
        <f>VLOOKUP(D246,'Rates from Tracker'!A:C,3,0)</f>
        <v>Rolling Dough LLC</v>
      </c>
      <c r="I246" t="str">
        <f>VLOOKUP(Table11[[#This Row],[Franchisee]],'Rates from Tracker'!C:D,2,0)</f>
        <v>Connolly</v>
      </c>
      <c r="J246" s="10">
        <f>ROUND(IF(Table11[[#This Row],[Location]]="Belmont Market",Table11[[#This Row],[Column2]]*0.01,IF(Table11[[#This Row],[Location]]="Country Club Centre",Table11[[#This Row],[Column2]]*0.01,IF(Table11[[#This Row],[Location]]="Naval Air Station Norfolk",Table11[[#This Row],[Column2]]*0.005,F246*0.02))),2)</f>
        <v>38.71</v>
      </c>
      <c r="K24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46" s="11">
        <f t="shared" si="8"/>
        <v>96.79</v>
      </c>
      <c r="M246" s="10">
        <f t="shared" si="9"/>
        <v>135.5</v>
      </c>
    </row>
    <row r="247" spans="1:13" x14ac:dyDescent="0.25">
      <c r="A247" s="143" t="str">
        <f>IF(Table11[[#This Row],[Date]]=0,"",IF(Table11[[#This Row],[Date]]&lt;(Summary!$B$3-6),1,""))</f>
        <v/>
      </c>
      <c r="B247" s="127">
        <v>46268</v>
      </c>
      <c r="C247" s="16">
        <v>161</v>
      </c>
      <c r="D247" s="16" t="s">
        <v>10</v>
      </c>
      <c r="E247" s="17">
        <v>3546.53</v>
      </c>
      <c r="F247" s="17">
        <v>3494.62</v>
      </c>
      <c r="G247" s="10" t="str">
        <f>VLOOKUP(Table11[[#This Row],[Store]],'Rates from Tracker'!A:B,2,0)</f>
        <v>Chico</v>
      </c>
      <c r="H247" t="str">
        <f>VLOOKUP(D247,'Rates from Tracker'!A:C,3,0)</f>
        <v>Exceed Group Chico</v>
      </c>
      <c r="I247" t="str">
        <f>VLOOKUP(Table11[[#This Row],[Franchisee]],'Rates from Tracker'!C:D,2,0)</f>
        <v>Chawla</v>
      </c>
      <c r="J247" s="10">
        <f>ROUND(IF(Table11[[#This Row],[Location]]="Belmont Market",Table11[[#This Row],[Column2]]*0.01,IF(Table11[[#This Row],[Location]]="Country Club Centre",Table11[[#This Row],[Column2]]*0.01,IF(Table11[[#This Row],[Location]]="Naval Air Station Norfolk",Table11[[#This Row],[Column2]]*0.005,F247*0.02))),2)</f>
        <v>69.89</v>
      </c>
      <c r="K24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47" s="11">
        <f t="shared" si="8"/>
        <v>174.73</v>
      </c>
      <c r="M247" s="10">
        <f t="shared" si="9"/>
        <v>244.62</v>
      </c>
    </row>
    <row r="248" spans="1:13" x14ac:dyDescent="0.25">
      <c r="A248" s="143" t="str">
        <f>IF(Table11[[#This Row],[Date]]=0,"",IF(Table11[[#This Row],[Date]]&lt;(Summary!$B$3-6),1,""))</f>
        <v/>
      </c>
      <c r="B248" s="127">
        <v>46268</v>
      </c>
      <c r="C248" s="16">
        <v>163</v>
      </c>
      <c r="D248" s="16" t="s">
        <v>13</v>
      </c>
      <c r="E248" s="17">
        <v>3941.06</v>
      </c>
      <c r="F248" s="17">
        <v>3862.16</v>
      </c>
      <c r="G248" s="10" t="str">
        <f>VLOOKUP(Table11[[#This Row],[Store]],'Rates from Tracker'!A:B,2,0)</f>
        <v>Forest Trace</v>
      </c>
      <c r="H248" t="str">
        <f>VLOOKUP(D248,'Rates from Tracker'!A:C,3,0)</f>
        <v>Best Pizza LLC</v>
      </c>
      <c r="I248" t="str">
        <f>VLOOKUP(Table11[[#This Row],[Franchisee]],'Rates from Tracker'!C:D,2,0)</f>
        <v>Merullo</v>
      </c>
      <c r="J248" s="10">
        <f>ROUND(IF(Table11[[#This Row],[Location]]="Belmont Market",Table11[[#This Row],[Column2]]*0.01,IF(Table11[[#This Row],[Location]]="Country Club Centre",Table11[[#This Row],[Column2]]*0.01,IF(Table11[[#This Row],[Location]]="Naval Air Station Norfolk",Table11[[#This Row],[Column2]]*0.005,F248*0.02))),2)</f>
        <v>77.239999999999995</v>
      </c>
      <c r="K24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48" s="11">
        <f t="shared" si="8"/>
        <v>193.11</v>
      </c>
      <c r="M248" s="10">
        <f t="shared" si="9"/>
        <v>270.35000000000002</v>
      </c>
    </row>
    <row r="249" spans="1:13" x14ac:dyDescent="0.25">
      <c r="A249" s="143" t="str">
        <f>IF(Table11[[#This Row],[Date]]=0,"",IF(Table11[[#This Row],[Date]]&lt;(Summary!$B$3-6),1,""))</f>
        <v/>
      </c>
      <c r="B249" s="127">
        <v>46268</v>
      </c>
      <c r="C249" s="16">
        <v>166</v>
      </c>
      <c r="D249" s="16" t="s">
        <v>8</v>
      </c>
      <c r="E249" s="17">
        <v>3029.86</v>
      </c>
      <c r="F249" s="17">
        <v>2931.98</v>
      </c>
      <c r="G249" s="10" t="str">
        <f>VLOOKUP(Table11[[#This Row],[Store]],'Rates from Tracker'!A:B,2,0)</f>
        <v>Centre Avenue</v>
      </c>
      <c r="H249" t="str">
        <f>VLOOKUP(D249,'Rates from Tracker'!A:C,3,0)</f>
        <v>Best Pizza LLC</v>
      </c>
      <c r="I249" t="str">
        <f>VLOOKUP(Table11[[#This Row],[Franchisee]],'Rates from Tracker'!C:D,2,0)</f>
        <v>Merullo</v>
      </c>
      <c r="J249" s="10">
        <f>ROUND(IF(Table11[[#This Row],[Location]]="Belmont Market",Table11[[#This Row],[Column2]]*0.01,IF(Table11[[#This Row],[Location]]="Country Club Centre",Table11[[#This Row],[Column2]]*0.01,IF(Table11[[#This Row],[Location]]="Naval Air Station Norfolk",Table11[[#This Row],[Column2]]*0.005,F249*0.02))),2)</f>
        <v>58.64</v>
      </c>
      <c r="K24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49" s="11">
        <f t="shared" si="8"/>
        <v>146.6</v>
      </c>
      <c r="M249" s="10">
        <f t="shared" si="9"/>
        <v>205.24</v>
      </c>
    </row>
    <row r="250" spans="1:13" x14ac:dyDescent="0.25">
      <c r="A250" s="143" t="str">
        <f>IF(Table11[[#This Row],[Date]]=0,"",IF(Table11[[#This Row],[Date]]&lt;(Summary!$B$3-6),1,""))</f>
        <v/>
      </c>
      <c r="B250" s="127">
        <v>46268</v>
      </c>
      <c r="C250" s="16">
        <v>172</v>
      </c>
      <c r="D250" s="16" t="s">
        <v>579</v>
      </c>
      <c r="E250" s="17">
        <v>3178.29</v>
      </c>
      <c r="F250" s="17">
        <v>3133.12</v>
      </c>
      <c r="G250" s="10" t="str">
        <f>VLOOKUP(Table11[[#This Row],[Store]],'Rates from Tracker'!A:B,2,0)</f>
        <v>Oakway</v>
      </c>
      <c r="H250" t="str">
        <f>VLOOKUP(D250,'Rates from Tracker'!A:C,3,0)</f>
        <v>SSR Holdings LLC</v>
      </c>
      <c r="I250" t="str">
        <f>VLOOKUP(Table11[[#This Row],[Franchisee]],'Rates from Tracker'!C:D,2,0)</f>
        <v>Bikram</v>
      </c>
      <c r="J250" s="10">
        <f>ROUND(IF(Table11[[#This Row],[Location]]="Belmont Market",Table11[[#This Row],[Column2]]*0.01,IF(Table11[[#This Row],[Location]]="Country Club Centre",Table11[[#This Row],[Column2]]*0.01,IF(Table11[[#This Row],[Location]]="Naval Air Station Norfolk",Table11[[#This Row],[Column2]]*0.005,F250*0.02))),2)</f>
        <v>62.66</v>
      </c>
      <c r="K25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50" s="11">
        <f t="shared" si="8"/>
        <v>31.33</v>
      </c>
      <c r="M250" s="10">
        <f t="shared" si="9"/>
        <v>93.99</v>
      </c>
    </row>
    <row r="251" spans="1:13" x14ac:dyDescent="0.25">
      <c r="A251" s="143" t="str">
        <f>IF(Table11[[#This Row],[Date]]=0,"",IF(Table11[[#This Row],[Date]]&lt;(Summary!$B$3-6),1,""))</f>
        <v/>
      </c>
      <c r="B251" s="127">
        <v>46268</v>
      </c>
      <c r="C251" s="16">
        <v>204</v>
      </c>
      <c r="D251" s="16" t="s">
        <v>578</v>
      </c>
      <c r="E251" s="17">
        <v>3383.51</v>
      </c>
      <c r="F251" s="17">
        <v>3293.46</v>
      </c>
      <c r="G251" s="10" t="str">
        <f>VLOOKUP(Table11[[#This Row],[Store]],'Rates from Tracker'!A:B,2,0)</f>
        <v>North Medford</v>
      </c>
      <c r="H251" t="str">
        <f>VLOOKUP(D251,'Rates from Tracker'!A:C,3,0)</f>
        <v>SSR Holdings LLC</v>
      </c>
      <c r="I251" t="str">
        <f>VLOOKUP(Table11[[#This Row],[Franchisee]],'Rates from Tracker'!C:D,2,0)</f>
        <v>Bikram</v>
      </c>
      <c r="J251" s="10">
        <f>ROUND(IF(Table11[[#This Row],[Location]]="Belmont Market",Table11[[#This Row],[Column2]]*0.01,IF(Table11[[#This Row],[Location]]="Country Club Centre",Table11[[#This Row],[Column2]]*0.01,IF(Table11[[#This Row],[Location]]="Naval Air Station Norfolk",Table11[[#This Row],[Column2]]*0.005,F251*0.02))),2)</f>
        <v>65.87</v>
      </c>
      <c r="K25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51" s="11">
        <f t="shared" si="8"/>
        <v>32.93</v>
      </c>
      <c r="M251" s="10">
        <f t="shared" si="9"/>
        <v>98.800000000000011</v>
      </c>
    </row>
    <row r="252" spans="1:13" x14ac:dyDescent="0.25">
      <c r="A252" s="143" t="str">
        <f>IF(Table11[[#This Row],[Date]]=0,"",IF(Table11[[#This Row],[Date]]&lt;(Summary!$B$3-6),1,""))</f>
        <v/>
      </c>
      <c r="B252" s="127">
        <v>46268</v>
      </c>
      <c r="C252" s="16">
        <v>210</v>
      </c>
      <c r="D252" s="16" t="s">
        <v>586</v>
      </c>
      <c r="E252" s="17">
        <v>1804.78</v>
      </c>
      <c r="F252" s="17">
        <v>1785.09</v>
      </c>
      <c r="G252" s="10" t="str">
        <f>VLOOKUP(Table11[[#This Row],[Store]],'Rates from Tracker'!A:B,2,0)</f>
        <v>South Eugene</v>
      </c>
      <c r="H252" t="str">
        <f>VLOOKUP(D252,'Rates from Tracker'!A:C,3,0)</f>
        <v>SSR Holdings LLC</v>
      </c>
      <c r="I252" t="str">
        <f>VLOOKUP(Table11[[#This Row],[Franchisee]],'Rates from Tracker'!C:D,2,0)</f>
        <v>Bikram</v>
      </c>
      <c r="J252" s="10">
        <f>ROUND(IF(Table11[[#This Row],[Location]]="Belmont Market",Table11[[#This Row],[Column2]]*0.01,IF(Table11[[#This Row],[Location]]="Country Club Centre",Table11[[#This Row],[Column2]]*0.01,IF(Table11[[#This Row],[Location]]="Naval Air Station Norfolk",Table11[[#This Row],[Column2]]*0.005,F252*0.02))),2)</f>
        <v>35.700000000000003</v>
      </c>
      <c r="K25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52" s="11">
        <f t="shared" si="8"/>
        <v>17.850000000000001</v>
      </c>
      <c r="M252" s="10">
        <f t="shared" si="9"/>
        <v>53.550000000000004</v>
      </c>
    </row>
    <row r="253" spans="1:13" x14ac:dyDescent="0.25">
      <c r="A253" s="143" t="str">
        <f>IF(Table11[[#This Row],[Date]]=0,"",IF(Table11[[#This Row],[Date]]&lt;(Summary!$B$3-6),1,""))</f>
        <v/>
      </c>
      <c r="B253" s="127">
        <v>46268</v>
      </c>
      <c r="C253" s="16">
        <v>212</v>
      </c>
      <c r="D253" s="16" t="s">
        <v>39</v>
      </c>
      <c r="E253" s="17">
        <v>2421.09</v>
      </c>
      <c r="F253" s="17">
        <v>2357.46</v>
      </c>
      <c r="G253" s="10" t="str">
        <f>VLOOKUP(Table11[[#This Row],[Store]],'Rates from Tracker'!A:B,2,0)</f>
        <v>Woodland</v>
      </c>
      <c r="H253" t="str">
        <f>VLOOKUP(D253,'Rates from Tracker'!A:C,3,0)</f>
        <v>Exceed Group Woodland</v>
      </c>
      <c r="I253" t="str">
        <f>VLOOKUP(Table11[[#This Row],[Franchisee]],'Rates from Tracker'!C:D,2,0)</f>
        <v>Chawla</v>
      </c>
      <c r="J253" s="10">
        <f>ROUND(IF(Table11[[#This Row],[Location]]="Belmont Market",Table11[[#This Row],[Column2]]*0.01,IF(Table11[[#This Row],[Location]]="Country Club Centre",Table11[[#This Row],[Column2]]*0.01,IF(Table11[[#This Row],[Location]]="Naval Air Station Norfolk",Table11[[#This Row],[Column2]]*0.005,F253*0.02))),2)</f>
        <v>47.15</v>
      </c>
      <c r="K25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53" s="11">
        <f t="shared" si="8"/>
        <v>117.87</v>
      </c>
      <c r="M253" s="10">
        <f t="shared" si="9"/>
        <v>165.02</v>
      </c>
    </row>
    <row r="254" spans="1:13" x14ac:dyDescent="0.25">
      <c r="A254" s="143" t="str">
        <f>IF(Table11[[#This Row],[Date]]=0,"",IF(Table11[[#This Row],[Date]]&lt;(Summary!$B$3-6),1,""))</f>
        <v/>
      </c>
      <c r="B254" s="127">
        <v>46268</v>
      </c>
      <c r="C254" s="16">
        <v>216</v>
      </c>
      <c r="D254" s="16" t="s">
        <v>23</v>
      </c>
      <c r="E254" s="17">
        <v>2402.21</v>
      </c>
      <c r="F254" s="17">
        <v>2332.1</v>
      </c>
      <c r="G254" s="10" t="str">
        <f>VLOOKUP(Table11[[#This Row],[Store]],'Rates from Tracker'!A:B,2,0)</f>
        <v>NE Columbia</v>
      </c>
      <c r="H254" t="str">
        <f>VLOOKUP(D254,'Rates from Tracker'!A:C,3,0)</f>
        <v>Rolling Dough LLC</v>
      </c>
      <c r="I254" t="str">
        <f>VLOOKUP(Table11[[#This Row],[Franchisee]],'Rates from Tracker'!C:D,2,0)</f>
        <v>Connolly</v>
      </c>
      <c r="J254" s="10">
        <f>ROUND(IF(Table11[[#This Row],[Location]]="Belmont Market",Table11[[#This Row],[Column2]]*0.01,IF(Table11[[#This Row],[Location]]="Country Club Centre",Table11[[#This Row],[Column2]]*0.01,IF(Table11[[#This Row],[Location]]="Naval Air Station Norfolk",Table11[[#This Row],[Column2]]*0.005,F254*0.02))),2)</f>
        <v>46.64</v>
      </c>
      <c r="K25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54" s="11">
        <f t="shared" si="8"/>
        <v>116.61</v>
      </c>
      <c r="M254" s="10">
        <f t="shared" si="9"/>
        <v>163.25</v>
      </c>
    </row>
    <row r="255" spans="1:13" x14ac:dyDescent="0.25">
      <c r="A255" s="143" t="str">
        <f>IF(Table11[[#This Row],[Date]]=0,"",IF(Table11[[#This Row],[Date]]&lt;(Summary!$B$3-6),1,""))</f>
        <v/>
      </c>
      <c r="B255" s="127">
        <v>46268</v>
      </c>
      <c r="C255" s="16">
        <v>228</v>
      </c>
      <c r="D255" s="16" t="s">
        <v>131</v>
      </c>
      <c r="E255" s="17">
        <v>1352.59</v>
      </c>
      <c r="F255" s="17">
        <v>1332.76</v>
      </c>
      <c r="G255" s="10" t="str">
        <f>VLOOKUP(Table11[[#This Row],[Store]],'Rates from Tracker'!A:B,2,0)</f>
        <v>Auburn Village</v>
      </c>
      <c r="H255" t="str">
        <f>VLOOKUP(D255,'Rates from Tracker'!A:C,3,0)</f>
        <v>Exceed Group Auburn Village</v>
      </c>
      <c r="I255" t="str">
        <f>VLOOKUP(Table11[[#This Row],[Franchisee]],'Rates from Tracker'!C:D,2,0)</f>
        <v>Chawla</v>
      </c>
      <c r="J255" s="10">
        <f>ROUND(IF(Table11[[#This Row],[Location]]="Belmont Market",Table11[[#This Row],[Column2]]*0.01,IF(Table11[[#This Row],[Location]]="Country Club Centre",Table11[[#This Row],[Column2]]*0.01,IF(Table11[[#This Row],[Location]]="Naval Air Station Norfolk",Table11[[#This Row],[Column2]]*0.005,F255*0.02))),2)</f>
        <v>26.66</v>
      </c>
      <c r="K25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55" s="11">
        <f t="shared" si="8"/>
        <v>66.64</v>
      </c>
      <c r="M255" s="10">
        <f t="shared" si="9"/>
        <v>93.3</v>
      </c>
    </row>
    <row r="256" spans="1:13" x14ac:dyDescent="0.25">
      <c r="A256" s="143" t="str">
        <f>IF(Table11[[#This Row],[Date]]=0,"",IF(Table11[[#This Row],[Date]]&lt;(Summary!$B$3-6),1,""))</f>
        <v/>
      </c>
      <c r="B256" s="127">
        <v>46268</v>
      </c>
      <c r="C256" s="16">
        <v>231</v>
      </c>
      <c r="D256" s="16" t="s">
        <v>133</v>
      </c>
      <c r="E256" s="17">
        <v>2233.5</v>
      </c>
      <c r="F256" s="17">
        <v>2209.06</v>
      </c>
      <c r="G256" s="10" t="str">
        <f>VLOOKUP(Table11[[#This Row],[Store]],'Rates from Tracker'!A:B,2,0)</f>
        <v>Kennesaw</v>
      </c>
      <c r="H256" t="str">
        <f>VLOOKUP(D256,'Rates from Tracker'!A:C,3,0)</f>
        <v>Southern Pie LLC</v>
      </c>
      <c r="I256" t="str">
        <f>VLOOKUP(Table11[[#This Row],[Franchisee]],'Rates from Tracker'!C:D,2,0)</f>
        <v>Hill/Hayden</v>
      </c>
      <c r="J256" s="10">
        <f>ROUND(IF(Table11[[#This Row],[Location]]="Belmont Market",Table11[[#This Row],[Column2]]*0.01,IF(Table11[[#This Row],[Location]]="Country Club Centre",Table11[[#This Row],[Column2]]*0.01,IF(Table11[[#This Row],[Location]]="Naval Air Station Norfolk",Table11[[#This Row],[Column2]]*0.005,F256*0.02))),2)</f>
        <v>44.18</v>
      </c>
      <c r="K25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56" s="11">
        <f t="shared" si="8"/>
        <v>110.45</v>
      </c>
      <c r="M256" s="10">
        <f t="shared" si="9"/>
        <v>154.63</v>
      </c>
    </row>
    <row r="257" spans="1:13" x14ac:dyDescent="0.25">
      <c r="A257" s="143" t="str">
        <f>IF(Table11[[#This Row],[Date]]=0,"",IF(Table11[[#This Row],[Date]]&lt;(Summary!$B$3-6),1,""))</f>
        <v/>
      </c>
      <c r="B257" s="127">
        <v>46268</v>
      </c>
      <c r="C257" s="16">
        <v>241</v>
      </c>
      <c r="D257" s="16" t="s">
        <v>592</v>
      </c>
      <c r="E257" s="17">
        <v>2481.35</v>
      </c>
      <c r="F257" s="17">
        <v>2390.1799999999998</v>
      </c>
      <c r="G257" s="10" t="str">
        <f>VLOOKUP(Table11[[#This Row],[Store]],'Rates from Tracker'!A:B,2,0)</f>
        <v>Woods Cross</v>
      </c>
      <c r="H257" t="str">
        <f>VLOOKUP(D257,'Rates from Tracker'!A:C,3,0)</f>
        <v>SSR Holdings LLC</v>
      </c>
      <c r="I257" t="str">
        <f>VLOOKUP(Table11[[#This Row],[Franchisee]],'Rates from Tracker'!C:D,2,0)</f>
        <v>Bikram</v>
      </c>
      <c r="J257" s="10">
        <f>ROUND(IF(Table11[[#This Row],[Location]]="Belmont Market",Table11[[#This Row],[Column2]]*0.01,IF(Table11[[#This Row],[Location]]="Country Club Centre",Table11[[#This Row],[Column2]]*0.01,IF(Table11[[#This Row],[Location]]="Naval Air Station Norfolk",Table11[[#This Row],[Column2]]*0.005,F257*0.02))),2)</f>
        <v>47.8</v>
      </c>
      <c r="K25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57" s="11">
        <f t="shared" si="8"/>
        <v>23.9</v>
      </c>
      <c r="M257" s="10">
        <f t="shared" si="9"/>
        <v>71.699999999999989</v>
      </c>
    </row>
    <row r="258" spans="1:13" x14ac:dyDescent="0.25">
      <c r="A258" s="143" t="str">
        <f>IF(Table11[[#This Row],[Date]]=0,"",IF(Table11[[#This Row],[Date]]&lt;(Summary!$B$3-6),1,""))</f>
        <v/>
      </c>
      <c r="B258" s="127">
        <v>46268</v>
      </c>
      <c r="C258" s="16">
        <v>244</v>
      </c>
      <c r="D258" s="16" t="s">
        <v>155</v>
      </c>
      <c r="E258" s="17">
        <v>2098.3000000000002</v>
      </c>
      <c r="F258" s="17">
        <v>2066.79</v>
      </c>
      <c r="G258" s="10" t="str">
        <f>VLOOKUP(Table11[[#This Row],[Store]],'Rates from Tracker'!A:B,2,0)</f>
        <v>Redfield Promenade</v>
      </c>
      <c r="H258" t="str">
        <f>VLOOKUP(D258,'Rates from Tracker'!A:C,3,0)</f>
        <v>Exceed Group Redfield Promenade</v>
      </c>
      <c r="I258" t="str">
        <f>VLOOKUP(Table11[[#This Row],[Franchisee]],'Rates from Tracker'!C:D,2,0)</f>
        <v>Chawla</v>
      </c>
      <c r="J258" s="10">
        <f>ROUND(IF(Table11[[#This Row],[Location]]="Belmont Market",Table11[[#This Row],[Column2]]*0.01,IF(Table11[[#This Row],[Location]]="Country Club Centre",Table11[[#This Row],[Column2]]*0.01,IF(Table11[[#This Row],[Location]]="Naval Air Station Norfolk",Table11[[#This Row],[Column2]]*0.005,F258*0.02))),2)</f>
        <v>41.34</v>
      </c>
      <c r="K25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58" s="11">
        <f t="shared" si="8"/>
        <v>103.34</v>
      </c>
      <c r="M258" s="10">
        <f t="shared" si="9"/>
        <v>144.68</v>
      </c>
    </row>
    <row r="259" spans="1:13" x14ac:dyDescent="0.25">
      <c r="A259" s="143" t="str">
        <f>IF(Table11[[#This Row],[Date]]=0,"",IF(Table11[[#This Row],[Date]]&lt;(Summary!$B$3-6),1,""))</f>
        <v/>
      </c>
      <c r="B259" s="127">
        <v>46268</v>
      </c>
      <c r="C259" s="16">
        <v>245</v>
      </c>
      <c r="D259" s="16" t="s">
        <v>157</v>
      </c>
      <c r="E259" s="17">
        <v>1555.55</v>
      </c>
      <c r="F259" s="17">
        <v>1429.93</v>
      </c>
      <c r="G259" s="10" t="str">
        <f>VLOOKUP(Table11[[#This Row],[Store]],'Rates from Tracker'!A:B,2,0)</f>
        <v>Evansville #11</v>
      </c>
      <c r="H259" t="str">
        <f>VLOOKUP(D259,'Rates from Tracker'!A:C,3,0)</f>
        <v>Cool Dough Development, LLC</v>
      </c>
      <c r="I259" t="str">
        <f>VLOOKUP(Table11[[#This Row],[Franchisee]],'Rates from Tracker'!C:D,2,0)</f>
        <v>Denning</v>
      </c>
      <c r="J259" s="10">
        <f>ROUND(IF(Table11[[#This Row],[Location]]="Belmont Market",Table11[[#This Row],[Column2]]*0.01,IF(Table11[[#This Row],[Location]]="Country Club Centre",Table11[[#This Row],[Column2]]*0.01,IF(Table11[[#This Row],[Location]]="Naval Air Station Norfolk",Table11[[#This Row],[Column2]]*0.005,F259*0.02))),2)</f>
        <v>28.6</v>
      </c>
      <c r="K25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59" s="11">
        <f t="shared" si="8"/>
        <v>71.5</v>
      </c>
      <c r="M259" s="10">
        <f t="shared" si="9"/>
        <v>100.1</v>
      </c>
    </row>
    <row r="260" spans="1:13" x14ac:dyDescent="0.25">
      <c r="A260" s="143" t="str">
        <f>IF(Table11[[#This Row],[Date]]=0,"",IF(Table11[[#This Row],[Date]]&lt;(Summary!$B$3-6),1,""))</f>
        <v/>
      </c>
      <c r="B260" s="127">
        <v>46268</v>
      </c>
      <c r="C260" s="16">
        <v>251</v>
      </c>
      <c r="D260" s="16" t="s">
        <v>258</v>
      </c>
      <c r="E260" s="17">
        <v>4402.55</v>
      </c>
      <c r="F260" s="17">
        <v>4305.28</v>
      </c>
      <c r="G260" s="10" t="str">
        <f>VLOOKUP(Table11[[#This Row],[Store]],'Rates from Tracker'!A:B,2,0)</f>
        <v>Westminster Promenade</v>
      </c>
      <c r="H260" t="str">
        <f>VLOOKUP(D260,'Rates from Tracker'!A:C,3,0)</f>
        <v>Best Pizza LLC</v>
      </c>
      <c r="I260" t="str">
        <f>VLOOKUP(Table11[[#This Row],[Franchisee]],'Rates from Tracker'!C:D,2,0)</f>
        <v>Merullo</v>
      </c>
      <c r="J260" s="10">
        <f>ROUND(IF(Table11[[#This Row],[Location]]="Belmont Market",Table11[[#This Row],[Column2]]*0.01,IF(Table11[[#This Row],[Location]]="Country Club Centre",Table11[[#This Row],[Column2]]*0.01,IF(Table11[[#This Row],[Location]]="Naval Air Station Norfolk",Table11[[#This Row],[Column2]]*0.005,F260*0.02))),2)</f>
        <v>86.11</v>
      </c>
      <c r="K26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60" s="11">
        <f t="shared" si="8"/>
        <v>215.26</v>
      </c>
      <c r="M260" s="10">
        <f t="shared" si="9"/>
        <v>301.37</v>
      </c>
    </row>
    <row r="261" spans="1:13" x14ac:dyDescent="0.25">
      <c r="A261" s="143" t="str">
        <f>IF(Table11[[#This Row],[Date]]=0,"",IF(Table11[[#This Row],[Date]]&lt;(Summary!$B$3-6),1,""))</f>
        <v/>
      </c>
      <c r="B261" s="127">
        <v>46268</v>
      </c>
      <c r="C261" s="16">
        <v>253</v>
      </c>
      <c r="D261" s="16" t="s">
        <v>580</v>
      </c>
      <c r="E261" s="17">
        <v>2384.2600000000002</v>
      </c>
      <c r="F261" s="17">
        <v>2358.19</v>
      </c>
      <c r="G261" s="10" t="str">
        <f>VLOOKUP(Table11[[#This Row],[Store]],'Rates from Tracker'!A:B,2,0)</f>
        <v>Park City</v>
      </c>
      <c r="H261" t="str">
        <f>VLOOKUP(D261,'Rates from Tracker'!A:C,3,0)</f>
        <v>SSR Holdings LLC</v>
      </c>
      <c r="I261" t="str">
        <f>VLOOKUP(Table11[[#This Row],[Franchisee]],'Rates from Tracker'!C:D,2,0)</f>
        <v>Bikram</v>
      </c>
      <c r="J261" s="10">
        <f>ROUND(IF(Table11[[#This Row],[Location]]="Belmont Market",Table11[[#This Row],[Column2]]*0.01,IF(Table11[[#This Row],[Location]]="Country Club Centre",Table11[[#This Row],[Column2]]*0.01,IF(Table11[[#This Row],[Location]]="Naval Air Station Norfolk",Table11[[#This Row],[Column2]]*0.005,F261*0.02))),2)</f>
        <v>47.16</v>
      </c>
      <c r="K26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61" s="11">
        <f t="shared" ref="L261:L324" si="10">ROUND(F261*K261,2)</f>
        <v>23.58</v>
      </c>
      <c r="M261" s="10">
        <f t="shared" ref="M261:M324" si="11">J261+L261</f>
        <v>70.739999999999995</v>
      </c>
    </row>
    <row r="262" spans="1:13" x14ac:dyDescent="0.25">
      <c r="A262" s="143" t="str">
        <f>IF(Table11[[#This Row],[Date]]=0,"",IF(Table11[[#This Row],[Date]]&lt;(Summary!$B$3-6),1,""))</f>
        <v/>
      </c>
      <c r="B262" s="127">
        <v>46268</v>
      </c>
      <c r="C262" s="16">
        <v>256</v>
      </c>
      <c r="D262" s="16" t="s">
        <v>266</v>
      </c>
      <c r="E262" s="17">
        <v>3160.39</v>
      </c>
      <c r="F262" s="17">
        <v>3045.6</v>
      </c>
      <c r="G262" s="10" t="str">
        <f>VLOOKUP(Table11[[#This Row],[Store]],'Rates from Tracker'!A:B,2,0)</f>
        <v>S Academy Highlands</v>
      </c>
      <c r="H262" t="str">
        <f>VLOOKUP(D262,'Rates from Tracker'!A:C,3,0)</f>
        <v>Best Pizza LLC</v>
      </c>
      <c r="I262" t="str">
        <f>VLOOKUP(Table11[[#This Row],[Franchisee]],'Rates from Tracker'!C:D,2,0)</f>
        <v>Merullo</v>
      </c>
      <c r="J262" s="10">
        <f>ROUND(IF(Table11[[#This Row],[Location]]="Belmont Market",Table11[[#This Row],[Column2]]*0.01,IF(Table11[[#This Row],[Location]]="Country Club Centre",Table11[[#This Row],[Column2]]*0.01,IF(Table11[[#This Row],[Location]]="Naval Air Station Norfolk",Table11[[#This Row],[Column2]]*0.005,F262*0.02))),2)</f>
        <v>60.91</v>
      </c>
      <c r="K26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62" s="11">
        <f t="shared" si="10"/>
        <v>152.28</v>
      </c>
      <c r="M262" s="10">
        <f t="shared" si="11"/>
        <v>213.19</v>
      </c>
    </row>
    <row r="263" spans="1:13" x14ac:dyDescent="0.25">
      <c r="A263" s="143" t="str">
        <f>IF(Table11[[#This Row],[Date]]=0,"",IF(Table11[[#This Row],[Date]]&lt;(Summary!$B$3-6),1,""))</f>
        <v/>
      </c>
      <c r="B263" s="127">
        <v>46268</v>
      </c>
      <c r="C263" s="16">
        <v>258</v>
      </c>
      <c r="D263" s="16" t="s">
        <v>582</v>
      </c>
      <c r="E263" s="17">
        <v>2534.66</v>
      </c>
      <c r="F263" s="17">
        <v>2511.4699999999998</v>
      </c>
      <c r="G263" s="10" t="str">
        <f>VLOOKUP(Table11[[#This Row],[Store]],'Rates from Tracker'!A:B,2,0)</f>
        <v>Riverdale</v>
      </c>
      <c r="H263" t="str">
        <f>VLOOKUP(D263,'Rates from Tracker'!A:C,3,0)</f>
        <v>SSR Holdings LLC</v>
      </c>
      <c r="I263" t="str">
        <f>VLOOKUP(Table11[[#This Row],[Franchisee]],'Rates from Tracker'!C:D,2,0)</f>
        <v>Bikram</v>
      </c>
      <c r="J263" s="10">
        <f>ROUND(IF(Table11[[#This Row],[Location]]="Belmont Market",Table11[[#This Row],[Column2]]*0.01,IF(Table11[[#This Row],[Location]]="Country Club Centre",Table11[[#This Row],[Column2]]*0.01,IF(Table11[[#This Row],[Location]]="Naval Air Station Norfolk",Table11[[#This Row],[Column2]]*0.005,F263*0.02))),2)</f>
        <v>50.23</v>
      </c>
      <c r="K26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63" s="11">
        <f t="shared" si="10"/>
        <v>25.11</v>
      </c>
      <c r="M263" s="10">
        <f t="shared" si="11"/>
        <v>75.34</v>
      </c>
    </row>
    <row r="264" spans="1:13" x14ac:dyDescent="0.25">
      <c r="A264" s="143" t="str">
        <f>IF(Table11[[#This Row],[Date]]=0,"",IF(Table11[[#This Row],[Date]]&lt;(Summary!$B$3-6),1,""))</f>
        <v/>
      </c>
      <c r="B264" s="127">
        <v>46268</v>
      </c>
      <c r="C264" s="16">
        <v>260</v>
      </c>
      <c r="D264" s="16" t="s">
        <v>280</v>
      </c>
      <c r="E264" s="17">
        <v>4581.03</v>
      </c>
      <c r="F264" s="17">
        <v>4498.83</v>
      </c>
      <c r="G264" s="10" t="str">
        <f>VLOOKUP(Table11[[#This Row],[Store]],'Rates from Tracker'!A:B,2,0)</f>
        <v>Highlands Ranch</v>
      </c>
      <c r="H264" t="str">
        <f>VLOOKUP(D264,'Rates from Tracker'!A:C,3,0)</f>
        <v>Best Pizza LLC</v>
      </c>
      <c r="I264" t="str">
        <f>VLOOKUP(Table11[[#This Row],[Franchisee]],'Rates from Tracker'!C:D,2,0)</f>
        <v>Merullo</v>
      </c>
      <c r="J264" s="10">
        <f>ROUND(IF(Table11[[#This Row],[Location]]="Belmont Market",Table11[[#This Row],[Column2]]*0.01,IF(Table11[[#This Row],[Location]]="Country Club Centre",Table11[[#This Row],[Column2]]*0.01,IF(Table11[[#This Row],[Location]]="Naval Air Station Norfolk",Table11[[#This Row],[Column2]]*0.005,F264*0.02))),2)</f>
        <v>89.98</v>
      </c>
      <c r="K26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64" s="11">
        <f t="shared" si="10"/>
        <v>224.94</v>
      </c>
      <c r="M264" s="10">
        <f t="shared" si="11"/>
        <v>314.92</v>
      </c>
    </row>
    <row r="265" spans="1:13" x14ac:dyDescent="0.25">
      <c r="A265" s="143" t="str">
        <f>IF(Table11[[#This Row],[Date]]=0,"",IF(Table11[[#This Row],[Date]]&lt;(Summary!$B$3-6),1,""))</f>
        <v/>
      </c>
      <c r="B265" s="127">
        <v>46268</v>
      </c>
      <c r="C265" s="16">
        <v>265</v>
      </c>
      <c r="D265" s="16" t="s">
        <v>267</v>
      </c>
      <c r="E265" s="17">
        <v>4670.3100000000004</v>
      </c>
      <c r="F265" s="17">
        <v>4586.41</v>
      </c>
      <c r="G265" s="10" t="str">
        <f>VLOOKUP(Table11[[#This Row],[Store]],'Rates from Tracker'!A:B,2,0)</f>
        <v>Dublin Commons</v>
      </c>
      <c r="H265" t="str">
        <f>VLOOKUP(D265,'Rates from Tracker'!A:C,3,0)</f>
        <v>Best Pizza LLC</v>
      </c>
      <c r="I265" t="str">
        <f>VLOOKUP(Table11[[#This Row],[Franchisee]],'Rates from Tracker'!C:D,2,0)</f>
        <v>Merullo</v>
      </c>
      <c r="J265" s="10">
        <f>ROUND(IF(Table11[[#This Row],[Location]]="Belmont Market",Table11[[#This Row],[Column2]]*0.01,IF(Table11[[#This Row],[Location]]="Country Club Centre",Table11[[#This Row],[Column2]]*0.01,IF(Table11[[#This Row],[Location]]="Naval Air Station Norfolk",Table11[[#This Row],[Column2]]*0.005,F265*0.02))),2)</f>
        <v>91.73</v>
      </c>
      <c r="K26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65" s="11">
        <f t="shared" si="10"/>
        <v>229.32</v>
      </c>
      <c r="M265" s="10">
        <f t="shared" si="11"/>
        <v>321.05</v>
      </c>
    </row>
    <row r="266" spans="1:13" x14ac:dyDescent="0.25">
      <c r="A266" s="143" t="str">
        <f>IF(Table11[[#This Row],[Date]]=0,"",IF(Table11[[#This Row],[Date]]&lt;(Summary!$B$3-6),1,""))</f>
        <v/>
      </c>
      <c r="B266" s="127">
        <v>46268</v>
      </c>
      <c r="C266" s="16">
        <v>267</v>
      </c>
      <c r="D266" s="16" t="s">
        <v>281</v>
      </c>
      <c r="E266" s="17">
        <v>1351.39</v>
      </c>
      <c r="F266" s="17">
        <v>1336.1</v>
      </c>
      <c r="G266" s="10" t="str">
        <f>VLOOKUP(Table11[[#This Row],[Store]],'Rates from Tracker'!A:B,2,0)</f>
        <v>Decatur</v>
      </c>
      <c r="H266" t="str">
        <f>VLOOKUP(D266,'Rates from Tracker'!A:C,3,0)</f>
        <v>DAZ9</v>
      </c>
      <c r="I266" t="str">
        <f>VLOOKUP(Table11[[#This Row],[Franchisee]],'Rates from Tracker'!C:D,2,0)</f>
        <v>Neal Patel</v>
      </c>
      <c r="J266" s="10">
        <f>ROUND(IF(Table11[[#This Row],[Location]]="Belmont Market",Table11[[#This Row],[Column2]]*0.01,IF(Table11[[#This Row],[Location]]="Country Club Centre",Table11[[#This Row],[Column2]]*0.01,IF(Table11[[#This Row],[Location]]="Naval Air Station Norfolk",Table11[[#This Row],[Column2]]*0.005,F266*0.02))),2)</f>
        <v>26.72</v>
      </c>
      <c r="K26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66" s="11">
        <f t="shared" si="10"/>
        <v>13.36</v>
      </c>
      <c r="M266" s="10">
        <f t="shared" si="11"/>
        <v>40.08</v>
      </c>
    </row>
    <row r="267" spans="1:13" x14ac:dyDescent="0.25">
      <c r="A267" s="143" t="str">
        <f>IF(Table11[[#This Row],[Date]]=0,"",IF(Table11[[#This Row],[Date]]&lt;(Summary!$B$3-6),1,""))</f>
        <v/>
      </c>
      <c r="B267" s="127">
        <v>46268</v>
      </c>
      <c r="C267" s="16">
        <v>272</v>
      </c>
      <c r="D267" s="16" t="s">
        <v>290</v>
      </c>
      <c r="E267" s="17">
        <v>2957.8</v>
      </c>
      <c r="F267" s="17">
        <v>2818.51</v>
      </c>
      <c r="G267" s="10" t="str">
        <f>VLOOKUP(Table11[[#This Row],[Store]],'Rates from Tracker'!A:B,2,0)</f>
        <v>Northfield Commons</v>
      </c>
      <c r="H267" t="str">
        <f>VLOOKUP(D267,'Rates from Tracker'!A:C,3,0)</f>
        <v>Best Pizza LLC</v>
      </c>
      <c r="I267" t="str">
        <f>VLOOKUP(Table11[[#This Row],[Franchisee]],'Rates from Tracker'!C:D,2,0)</f>
        <v>Merullo</v>
      </c>
      <c r="J267" s="10">
        <f>ROUND(IF(Table11[[#This Row],[Location]]="Belmont Market",Table11[[#This Row],[Column2]]*0.01,IF(Table11[[#This Row],[Location]]="Country Club Centre",Table11[[#This Row],[Column2]]*0.01,IF(Table11[[#This Row],[Location]]="Naval Air Station Norfolk",Table11[[#This Row],[Column2]]*0.005,F267*0.02))),2)</f>
        <v>56.37</v>
      </c>
      <c r="K26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67" s="11">
        <f t="shared" si="10"/>
        <v>140.93</v>
      </c>
      <c r="M267" s="10">
        <f t="shared" si="11"/>
        <v>197.3</v>
      </c>
    </row>
    <row r="268" spans="1:13" x14ac:dyDescent="0.25">
      <c r="A268" s="143" t="str">
        <f>IF(Table11[[#This Row],[Date]]=0,"",IF(Table11[[#This Row],[Date]]&lt;(Summary!$B$3-6),1,""))</f>
        <v/>
      </c>
      <c r="B268" s="127">
        <v>46268</v>
      </c>
      <c r="C268" s="16">
        <v>278</v>
      </c>
      <c r="D268" s="16" t="s">
        <v>284</v>
      </c>
      <c r="E268" s="17">
        <v>2517.5500000000002</v>
      </c>
      <c r="F268" s="17">
        <v>2478.84</v>
      </c>
      <c r="G268" s="10" t="str">
        <f>VLOOKUP(Table11[[#This Row],[Store]],'Rates from Tracker'!A:B,2,0)</f>
        <v>Diamond Circle</v>
      </c>
      <c r="H268" t="str">
        <f>VLOOKUP(D268,'Rates from Tracker'!A:C,3,0)</f>
        <v>Best Pizza LLC</v>
      </c>
      <c r="I268" t="str">
        <f>VLOOKUP(Table11[[#This Row],[Franchisee]],'Rates from Tracker'!C:D,2,0)</f>
        <v>Merullo</v>
      </c>
      <c r="J268" s="10">
        <f>ROUND(IF(Table11[[#This Row],[Location]]="Belmont Market",Table11[[#This Row],[Column2]]*0.01,IF(Table11[[#This Row],[Location]]="Country Club Centre",Table11[[#This Row],[Column2]]*0.01,IF(Table11[[#This Row],[Location]]="Naval Air Station Norfolk",Table11[[#This Row],[Column2]]*0.005,F268*0.02))),2)</f>
        <v>49.58</v>
      </c>
      <c r="K26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68" s="11">
        <f t="shared" si="10"/>
        <v>123.94</v>
      </c>
      <c r="M268" s="10">
        <f t="shared" si="11"/>
        <v>173.51999999999998</v>
      </c>
    </row>
    <row r="269" spans="1:13" x14ac:dyDescent="0.25">
      <c r="A269" s="143" t="str">
        <f>IF(Table11[[#This Row],[Date]]=0,"",IF(Table11[[#This Row],[Date]]&lt;(Summary!$B$3-6),1,""))</f>
        <v/>
      </c>
      <c r="B269" s="127">
        <v>46268</v>
      </c>
      <c r="C269" s="16">
        <v>279</v>
      </c>
      <c r="D269" s="16" t="s">
        <v>299</v>
      </c>
      <c r="E269" s="17">
        <v>2723.97</v>
      </c>
      <c r="F269" s="17">
        <v>2677.81</v>
      </c>
      <c r="G269" s="10" t="str">
        <f>VLOOKUP(Table11[[#This Row],[Store]],'Rates from Tracker'!A:B,2,0)</f>
        <v>Lexington</v>
      </c>
      <c r="H269" t="str">
        <f>VLOOKUP(D269,'Rates from Tracker'!A:C,3,0)</f>
        <v>Rolling Dough LLC</v>
      </c>
      <c r="I269" t="str">
        <f>VLOOKUP(Table11[[#This Row],[Franchisee]],'Rates from Tracker'!C:D,2,0)</f>
        <v>Connolly</v>
      </c>
      <c r="J269" s="10">
        <f>ROUND(IF(Table11[[#This Row],[Location]]="Belmont Market",Table11[[#This Row],[Column2]]*0.01,IF(Table11[[#This Row],[Location]]="Country Club Centre",Table11[[#This Row],[Column2]]*0.01,IF(Table11[[#This Row],[Location]]="Naval Air Station Norfolk",Table11[[#This Row],[Column2]]*0.005,F269*0.02))),2)</f>
        <v>53.56</v>
      </c>
      <c r="K26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69" s="11">
        <f t="shared" si="10"/>
        <v>133.88999999999999</v>
      </c>
      <c r="M269" s="10">
        <f t="shared" si="11"/>
        <v>187.45</v>
      </c>
    </row>
    <row r="270" spans="1:13" x14ac:dyDescent="0.25">
      <c r="A270" s="143" t="str">
        <f>IF(Table11[[#This Row],[Date]]=0,"",IF(Table11[[#This Row],[Date]]&lt;(Summary!$B$3-6),1,""))</f>
        <v/>
      </c>
      <c r="B270" s="127">
        <v>46268</v>
      </c>
      <c r="C270" s="16">
        <v>285</v>
      </c>
      <c r="D270" s="16" t="s">
        <v>288</v>
      </c>
      <c r="E270" s="17">
        <v>4474.55</v>
      </c>
      <c r="F270" s="17">
        <v>4331.4799999999996</v>
      </c>
      <c r="G270" s="10" t="str">
        <f>VLOOKUP(Table11[[#This Row],[Store]],'Rates from Tracker'!A:B,2,0)</f>
        <v>Polaris Pointe</v>
      </c>
      <c r="H270" t="str">
        <f>VLOOKUP(D270,'Rates from Tracker'!A:C,3,0)</f>
        <v>Best Pizza LLC</v>
      </c>
      <c r="I270" t="str">
        <f>VLOOKUP(Table11[[#This Row],[Franchisee]],'Rates from Tracker'!C:D,2,0)</f>
        <v>Merullo</v>
      </c>
      <c r="J270" s="10">
        <f>ROUND(IF(Table11[[#This Row],[Location]]="Belmont Market",Table11[[#This Row],[Column2]]*0.01,IF(Table11[[#This Row],[Location]]="Country Club Centre",Table11[[#This Row],[Column2]]*0.01,IF(Table11[[#This Row],[Location]]="Naval Air Station Norfolk",Table11[[#This Row],[Column2]]*0.005,F270*0.02))),2)</f>
        <v>86.63</v>
      </c>
      <c r="K27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70" s="11">
        <f t="shared" si="10"/>
        <v>216.57</v>
      </c>
      <c r="M270" s="10">
        <f t="shared" si="11"/>
        <v>303.2</v>
      </c>
    </row>
    <row r="271" spans="1:13" x14ac:dyDescent="0.25">
      <c r="A271" s="143" t="str">
        <f>IF(Table11[[#This Row],[Date]]=0,"",IF(Table11[[#This Row],[Date]]&lt;(Summary!$B$3-6),1,""))</f>
        <v/>
      </c>
      <c r="B271" s="127">
        <v>46268</v>
      </c>
      <c r="C271" s="16">
        <v>292</v>
      </c>
      <c r="D271" s="16" t="s">
        <v>296</v>
      </c>
      <c r="E271" s="17">
        <v>2181.4299999999998</v>
      </c>
      <c r="F271" s="17">
        <v>2178.44</v>
      </c>
      <c r="G271" s="10" t="str">
        <f>VLOOKUP(Table11[[#This Row],[Store]],'Rates from Tracker'!A:B,2,0)</f>
        <v>Greeley</v>
      </c>
      <c r="H271" t="str">
        <f>VLOOKUP(D271,'Rates from Tracker'!A:C,3,0)</f>
        <v>Best Pizza LLC</v>
      </c>
      <c r="I271" t="str">
        <f>VLOOKUP(Table11[[#This Row],[Franchisee]],'Rates from Tracker'!C:D,2,0)</f>
        <v>Merullo</v>
      </c>
      <c r="J271" s="10">
        <f>ROUND(IF(Table11[[#This Row],[Location]]="Belmont Market",Table11[[#This Row],[Column2]]*0.01,IF(Table11[[#This Row],[Location]]="Country Club Centre",Table11[[#This Row],[Column2]]*0.01,IF(Table11[[#This Row],[Location]]="Naval Air Station Norfolk",Table11[[#This Row],[Column2]]*0.005,F271*0.02))),2)</f>
        <v>43.57</v>
      </c>
      <c r="K27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71" s="11">
        <f t="shared" si="10"/>
        <v>108.92</v>
      </c>
      <c r="M271" s="10">
        <f t="shared" si="11"/>
        <v>152.49</v>
      </c>
    </row>
    <row r="272" spans="1:13" x14ac:dyDescent="0.25">
      <c r="A272" s="143" t="str">
        <f>IF(Table11[[#This Row],[Date]]=0,"",IF(Table11[[#This Row],[Date]]&lt;(Summary!$B$3-6),1,""))</f>
        <v/>
      </c>
      <c r="B272" s="127">
        <v>46268</v>
      </c>
      <c r="C272" s="16">
        <v>293</v>
      </c>
      <c r="D272" s="16" t="s">
        <v>320</v>
      </c>
      <c r="E272" s="17">
        <v>2027.91</v>
      </c>
      <c r="F272" s="17">
        <v>1991.19</v>
      </c>
      <c r="G272" s="10" t="str">
        <f>VLOOKUP(Table11[[#This Row],[Store]],'Rates from Tracker'!A:B,2,0)</f>
        <v>West Sacramento</v>
      </c>
      <c r="H272" t="str">
        <f>VLOOKUP(D272,'Rates from Tracker'!A:C,3,0)</f>
        <v>Exceed Group West Sacramento</v>
      </c>
      <c r="I272" t="str">
        <f>VLOOKUP(Table11[[#This Row],[Franchisee]],'Rates from Tracker'!C:D,2,0)</f>
        <v>Chawla</v>
      </c>
      <c r="J272" s="10">
        <f>ROUND(IF(Table11[[#This Row],[Location]]="Belmont Market",Table11[[#This Row],[Column2]]*0.01,IF(Table11[[#This Row],[Location]]="Country Club Centre",Table11[[#This Row],[Column2]]*0.01,IF(Table11[[#This Row],[Location]]="Naval Air Station Norfolk",Table11[[#This Row],[Column2]]*0.005,F272*0.02))),2)</f>
        <v>39.82</v>
      </c>
      <c r="K27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72" s="11">
        <f t="shared" si="10"/>
        <v>99.56</v>
      </c>
      <c r="M272" s="10">
        <f t="shared" si="11"/>
        <v>139.38</v>
      </c>
    </row>
    <row r="273" spans="1:13" x14ac:dyDescent="0.25">
      <c r="A273" s="143" t="str">
        <f>IF(Table11[[#This Row],[Date]]=0,"",IF(Table11[[#This Row],[Date]]&lt;(Summary!$B$3-6),1,""))</f>
        <v/>
      </c>
      <c r="B273" s="127">
        <v>46268</v>
      </c>
      <c r="C273" s="16">
        <v>296</v>
      </c>
      <c r="D273" s="16" t="s">
        <v>329</v>
      </c>
      <c r="E273" s="17">
        <v>2455.73</v>
      </c>
      <c r="F273" s="17">
        <v>2396.5500000000002</v>
      </c>
      <c r="G273" s="10" t="str">
        <f>VLOOKUP(Table11[[#This Row],[Store]],'Rates from Tracker'!A:B,2,0)</f>
        <v>Rancho Cordova</v>
      </c>
      <c r="H273" t="str">
        <f>VLOOKUP(D273,'Rates from Tracker'!A:C,3,0)</f>
        <v>Exceed Group Rancho Cordova</v>
      </c>
      <c r="I273" t="str">
        <f>VLOOKUP(Table11[[#This Row],[Franchisee]],'Rates from Tracker'!C:D,2,0)</f>
        <v>Chawla</v>
      </c>
      <c r="J273" s="10">
        <f>ROUND(IF(Table11[[#This Row],[Location]]="Belmont Market",Table11[[#This Row],[Column2]]*0.01,IF(Table11[[#This Row],[Location]]="Country Club Centre",Table11[[#This Row],[Column2]]*0.01,IF(Table11[[#This Row],[Location]]="Naval Air Station Norfolk",Table11[[#This Row],[Column2]]*0.005,F273*0.02))),2)</f>
        <v>47.93</v>
      </c>
      <c r="K27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73" s="11">
        <f t="shared" si="10"/>
        <v>119.83</v>
      </c>
      <c r="M273" s="10">
        <f t="shared" si="11"/>
        <v>167.76</v>
      </c>
    </row>
    <row r="274" spans="1:13" x14ac:dyDescent="0.25">
      <c r="A274" s="143" t="str">
        <f>IF(Table11[[#This Row],[Date]]=0,"",IF(Table11[[#This Row],[Date]]&lt;(Summary!$B$3-6),1,""))</f>
        <v/>
      </c>
      <c r="B274" s="127">
        <v>46268</v>
      </c>
      <c r="C274" s="16">
        <v>324</v>
      </c>
      <c r="D274" s="16" t="s">
        <v>569</v>
      </c>
      <c r="E274" s="17">
        <v>2193.34</v>
      </c>
      <c r="F274" s="17">
        <v>2181.56</v>
      </c>
      <c r="G274" s="10" t="str">
        <f>VLOOKUP(Table11[[#This Row],[Store]],'Rates from Tracker'!A:B,2,0)</f>
        <v>American Fork</v>
      </c>
      <c r="H274" t="str">
        <f>VLOOKUP(D274,'Rates from Tracker'!A:C,3,0)</f>
        <v>SSR Holdings LLC</v>
      </c>
      <c r="I274" t="str">
        <f>VLOOKUP(Table11[[#This Row],[Franchisee]],'Rates from Tracker'!C:D,2,0)</f>
        <v>Bikram</v>
      </c>
      <c r="J274" s="10">
        <f>ROUND(IF(Table11[[#This Row],[Location]]="Belmont Market",Table11[[#This Row],[Column2]]*0.01,IF(Table11[[#This Row],[Location]]="Country Club Centre",Table11[[#This Row],[Column2]]*0.01,IF(Table11[[#This Row],[Location]]="Naval Air Station Norfolk",Table11[[#This Row],[Column2]]*0.005,F274*0.02))),2)</f>
        <v>43.63</v>
      </c>
      <c r="K27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74" s="11">
        <f t="shared" si="10"/>
        <v>21.82</v>
      </c>
      <c r="M274" s="10">
        <f t="shared" si="11"/>
        <v>65.45</v>
      </c>
    </row>
    <row r="275" spans="1:13" x14ac:dyDescent="0.25">
      <c r="A275" s="143" t="str">
        <f>IF(Table11[[#This Row],[Date]]=0,"",IF(Table11[[#This Row],[Date]]&lt;(Summary!$B$3-6),1,""))</f>
        <v/>
      </c>
      <c r="B275" s="127">
        <v>46268</v>
      </c>
      <c r="C275" s="16">
        <v>325</v>
      </c>
      <c r="D275" s="16" t="s">
        <v>591</v>
      </c>
      <c r="E275" s="17">
        <v>1797.82</v>
      </c>
      <c r="F275" s="17">
        <v>1731.08</v>
      </c>
      <c r="G275" s="10" t="str">
        <f>VLOOKUP(Table11[[#This Row],[Store]],'Rates from Tracker'!A:B,2,0)</f>
        <v>Sugar House</v>
      </c>
      <c r="H275" t="str">
        <f>VLOOKUP(D275,'Rates from Tracker'!A:C,3,0)</f>
        <v>SSR Holdings LLC</v>
      </c>
      <c r="I275" t="str">
        <f>VLOOKUP(Table11[[#This Row],[Franchisee]],'Rates from Tracker'!C:D,2,0)</f>
        <v>Bikram</v>
      </c>
      <c r="J275" s="10">
        <f>ROUND(IF(Table11[[#This Row],[Location]]="Belmont Market",Table11[[#This Row],[Column2]]*0.01,IF(Table11[[#This Row],[Location]]="Country Club Centre",Table11[[#This Row],[Column2]]*0.01,IF(Table11[[#This Row],[Location]]="Naval Air Station Norfolk",Table11[[#This Row],[Column2]]*0.005,F275*0.02))),2)</f>
        <v>34.619999999999997</v>
      </c>
      <c r="K27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75" s="11">
        <f t="shared" si="10"/>
        <v>17.309999999999999</v>
      </c>
      <c r="M275" s="10">
        <f t="shared" si="11"/>
        <v>51.929999999999993</v>
      </c>
    </row>
    <row r="276" spans="1:13" x14ac:dyDescent="0.25">
      <c r="A276" s="143" t="str">
        <f>IF(Table11[[#This Row],[Date]]=0,"",IF(Table11[[#This Row],[Date]]&lt;(Summary!$B$3-6),1,""))</f>
        <v/>
      </c>
      <c r="B276" s="127">
        <v>46268</v>
      </c>
      <c r="C276" s="16">
        <v>332</v>
      </c>
      <c r="D276" s="16" t="s">
        <v>583</v>
      </c>
      <c r="E276" s="17">
        <v>1909.07</v>
      </c>
      <c r="F276" s="17">
        <v>1879.99</v>
      </c>
      <c r="G276" s="10" t="str">
        <f>VLOOKUP(Table11[[#This Row],[Store]],'Rates from Tracker'!A:B,2,0)</f>
        <v>Riverton</v>
      </c>
      <c r="H276" t="str">
        <f>VLOOKUP(D276,'Rates from Tracker'!A:C,3,0)</f>
        <v>SSR Holdings LLC</v>
      </c>
      <c r="I276" t="str">
        <f>VLOOKUP(Table11[[#This Row],[Franchisee]],'Rates from Tracker'!C:D,2,0)</f>
        <v>Bikram</v>
      </c>
      <c r="J276" s="10">
        <f>ROUND(IF(Table11[[#This Row],[Location]]="Belmont Market",Table11[[#This Row],[Column2]]*0.01,IF(Table11[[#This Row],[Location]]="Country Club Centre",Table11[[#This Row],[Column2]]*0.01,IF(Table11[[#This Row],[Location]]="Naval Air Station Norfolk",Table11[[#This Row],[Column2]]*0.005,F276*0.02))),2)</f>
        <v>37.6</v>
      </c>
      <c r="K27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76" s="11">
        <f t="shared" si="10"/>
        <v>18.8</v>
      </c>
      <c r="M276" s="10">
        <f t="shared" si="11"/>
        <v>56.400000000000006</v>
      </c>
    </row>
    <row r="277" spans="1:13" x14ac:dyDescent="0.25">
      <c r="A277" s="143" t="str">
        <f>IF(Table11[[#This Row],[Date]]=0,"",IF(Table11[[#This Row],[Date]]&lt;(Summary!$B$3-6),1,""))</f>
        <v/>
      </c>
      <c r="B277" s="127">
        <v>46268</v>
      </c>
      <c r="C277" s="16">
        <v>334</v>
      </c>
      <c r="D277" s="16" t="s">
        <v>577</v>
      </c>
      <c r="E277" s="17">
        <v>1867.89</v>
      </c>
      <c r="F277" s="17">
        <v>1814.9</v>
      </c>
      <c r="G277" s="10" t="str">
        <f>VLOOKUP(Table11[[#This Row],[Store]],'Rates from Tracker'!A:B,2,0)</f>
        <v>Layton</v>
      </c>
      <c r="H277" t="str">
        <f>VLOOKUP(D277,'Rates from Tracker'!A:C,3,0)</f>
        <v>SSR Holdings LLC</v>
      </c>
      <c r="I277" t="str">
        <f>VLOOKUP(Table11[[#This Row],[Franchisee]],'Rates from Tracker'!C:D,2,0)</f>
        <v>Bikram</v>
      </c>
      <c r="J277" s="10">
        <f>ROUND(IF(Table11[[#This Row],[Location]]="Belmont Market",Table11[[#This Row],[Column2]]*0.01,IF(Table11[[#This Row],[Location]]="Country Club Centre",Table11[[#This Row],[Column2]]*0.01,IF(Table11[[#This Row],[Location]]="Naval Air Station Norfolk",Table11[[#This Row],[Column2]]*0.005,F277*0.02))),2)</f>
        <v>36.299999999999997</v>
      </c>
      <c r="K27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77" s="11">
        <f t="shared" si="10"/>
        <v>18.149999999999999</v>
      </c>
      <c r="M277" s="10">
        <f t="shared" si="11"/>
        <v>54.449999999999996</v>
      </c>
    </row>
    <row r="278" spans="1:13" x14ac:dyDescent="0.25">
      <c r="A278" s="143" t="str">
        <f>IF(Table11[[#This Row],[Date]]=0,"",IF(Table11[[#This Row],[Date]]&lt;(Summary!$B$3-6),1,""))</f>
        <v/>
      </c>
      <c r="B278" s="127">
        <v>46268</v>
      </c>
      <c r="C278" s="16">
        <v>338</v>
      </c>
      <c r="D278" s="16" t="s">
        <v>310</v>
      </c>
      <c r="E278" s="17">
        <v>1844.87</v>
      </c>
      <c r="F278" s="17">
        <v>1769.38</v>
      </c>
      <c r="G278" s="10" t="str">
        <f>VLOOKUP(Table11[[#This Row],[Store]],'Rates from Tracker'!A:B,2,0)</f>
        <v>Augusta Exchange</v>
      </c>
      <c r="H278" t="str">
        <f>VLOOKUP(D278,'Rates from Tracker'!A:C,3,0)</f>
        <v>Rolling Dough LLC</v>
      </c>
      <c r="I278" t="str">
        <f>VLOOKUP(Table11[[#This Row],[Franchisee]],'Rates from Tracker'!C:D,2,0)</f>
        <v>Connolly</v>
      </c>
      <c r="J278" s="10">
        <f>ROUND(IF(Table11[[#This Row],[Location]]="Belmont Market",Table11[[#This Row],[Column2]]*0.01,IF(Table11[[#This Row],[Location]]="Country Club Centre",Table11[[#This Row],[Column2]]*0.01,IF(Table11[[#This Row],[Location]]="Naval Air Station Norfolk",Table11[[#This Row],[Column2]]*0.005,F278*0.02))),2)</f>
        <v>35.39</v>
      </c>
      <c r="K27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78" s="11">
        <f t="shared" si="10"/>
        <v>88.47</v>
      </c>
      <c r="M278" s="10">
        <f t="shared" si="11"/>
        <v>123.86</v>
      </c>
    </row>
    <row r="279" spans="1:13" x14ac:dyDescent="0.25">
      <c r="A279" s="143" t="str">
        <f>IF(Table11[[#This Row],[Date]]=0,"",IF(Table11[[#This Row],[Date]]&lt;(Summary!$B$3-6),1,""))</f>
        <v/>
      </c>
      <c r="B279" s="127">
        <v>46268</v>
      </c>
      <c r="C279" s="16">
        <v>348</v>
      </c>
      <c r="D279" s="16" t="s">
        <v>572</v>
      </c>
      <c r="E279" s="17">
        <v>4061</v>
      </c>
      <c r="F279" s="17">
        <v>3971.25</v>
      </c>
      <c r="G279" s="10" t="str">
        <f>VLOOKUP(Table11[[#This Row],[Store]],'Rates from Tracker'!A:B,2,0)</f>
        <v>Bend North</v>
      </c>
      <c r="H279" t="str">
        <f>VLOOKUP(D279,'Rates from Tracker'!A:C,3,0)</f>
        <v>SSR Holdings LLC</v>
      </c>
      <c r="I279" t="str">
        <f>VLOOKUP(Table11[[#This Row],[Franchisee]],'Rates from Tracker'!C:D,2,0)</f>
        <v>Bikram</v>
      </c>
      <c r="J279" s="10">
        <f>ROUND(IF(Table11[[#This Row],[Location]]="Belmont Market",Table11[[#This Row],[Column2]]*0.01,IF(Table11[[#This Row],[Location]]="Country Club Centre",Table11[[#This Row],[Column2]]*0.01,IF(Table11[[#This Row],[Location]]="Naval Air Station Norfolk",Table11[[#This Row],[Column2]]*0.005,F279*0.02))),2)</f>
        <v>79.430000000000007</v>
      </c>
      <c r="K27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79" s="11">
        <f t="shared" si="10"/>
        <v>39.71</v>
      </c>
      <c r="M279" s="10">
        <f t="shared" si="11"/>
        <v>119.14000000000001</v>
      </c>
    </row>
    <row r="280" spans="1:13" x14ac:dyDescent="0.25">
      <c r="A280" s="143" t="str">
        <f>IF(Table11[[#This Row],[Date]]=0,"",IF(Table11[[#This Row],[Date]]&lt;(Summary!$B$3-6),1,""))</f>
        <v/>
      </c>
      <c r="B280" s="127">
        <v>46268</v>
      </c>
      <c r="C280" s="16">
        <v>349</v>
      </c>
      <c r="D280" s="16" t="s">
        <v>588</v>
      </c>
      <c r="E280" s="17">
        <v>2919.87</v>
      </c>
      <c r="F280" s="17">
        <v>2899.19</v>
      </c>
      <c r="G280" s="10" t="str">
        <f>VLOOKUP(Table11[[#This Row],[Store]],'Rates from Tracker'!A:B,2,0)</f>
        <v>South Medford</v>
      </c>
      <c r="H280" t="str">
        <f>VLOOKUP(D280,'Rates from Tracker'!A:C,3,0)</f>
        <v>SSR Holdings LLC</v>
      </c>
      <c r="I280" t="str">
        <f>VLOOKUP(Table11[[#This Row],[Franchisee]],'Rates from Tracker'!C:D,2,0)</f>
        <v>Bikram</v>
      </c>
      <c r="J280" s="10">
        <f>ROUND(IF(Table11[[#This Row],[Location]]="Belmont Market",Table11[[#This Row],[Column2]]*0.01,IF(Table11[[#This Row],[Location]]="Country Club Centre",Table11[[#This Row],[Column2]]*0.01,IF(Table11[[#This Row],[Location]]="Naval Air Station Norfolk",Table11[[#This Row],[Column2]]*0.005,F280*0.02))),2)</f>
        <v>57.98</v>
      </c>
      <c r="K28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80" s="11">
        <f t="shared" si="10"/>
        <v>28.99</v>
      </c>
      <c r="M280" s="10">
        <f t="shared" si="11"/>
        <v>86.97</v>
      </c>
    </row>
    <row r="281" spans="1:13" x14ac:dyDescent="0.25">
      <c r="A281" s="143" t="str">
        <f>IF(Table11[[#This Row],[Date]]=0,"",IF(Table11[[#This Row],[Date]]&lt;(Summary!$B$3-6),1,""))</f>
        <v/>
      </c>
      <c r="B281" s="127">
        <v>46268</v>
      </c>
      <c r="C281" s="16">
        <v>352</v>
      </c>
      <c r="D281" s="16" t="s">
        <v>350</v>
      </c>
      <c r="E281" s="17">
        <v>1946.56</v>
      </c>
      <c r="F281" s="17">
        <v>1853.54</v>
      </c>
      <c r="G281" s="10" t="str">
        <f>VLOOKUP(Table11[[#This Row],[Store]],'Rates from Tracker'!A:B,2,0)</f>
        <v>Georgetown</v>
      </c>
      <c r="H281" t="str">
        <f>VLOOKUP(D281,'Rates from Tracker'!A:C,3,0)</f>
        <v>Cool Dough Development, LLC</v>
      </c>
      <c r="I281" t="str">
        <f>VLOOKUP(Table11[[#This Row],[Franchisee]],'Rates from Tracker'!C:D,2,0)</f>
        <v>Denning</v>
      </c>
      <c r="J281" s="10">
        <f>ROUND(IF(Table11[[#This Row],[Location]]="Belmont Market",Table11[[#This Row],[Column2]]*0.01,IF(Table11[[#This Row],[Location]]="Country Club Centre",Table11[[#This Row],[Column2]]*0.01,IF(Table11[[#This Row],[Location]]="Naval Air Station Norfolk",Table11[[#This Row],[Column2]]*0.005,F281*0.02))),2)</f>
        <v>37.07</v>
      </c>
      <c r="K28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81" s="11">
        <f t="shared" si="10"/>
        <v>92.68</v>
      </c>
      <c r="M281" s="10">
        <f t="shared" si="11"/>
        <v>129.75</v>
      </c>
    </row>
    <row r="282" spans="1:13" x14ac:dyDescent="0.25">
      <c r="A282" s="143" t="str">
        <f>IF(Table11[[#This Row],[Date]]=0,"",IF(Table11[[#This Row],[Date]]&lt;(Summary!$B$3-6),1,""))</f>
        <v/>
      </c>
      <c r="B282" s="127">
        <v>46268</v>
      </c>
      <c r="C282" s="16">
        <v>366</v>
      </c>
      <c r="D282" s="16" t="s">
        <v>585</v>
      </c>
      <c r="E282" s="17">
        <v>2718.01</v>
      </c>
      <c r="F282" s="17">
        <v>2550.63</v>
      </c>
      <c r="G282" s="10" t="str">
        <f>VLOOKUP(Table11[[#This Row],[Store]],'Rates from Tracker'!A:B,2,0)</f>
        <v>Saratoga Springs</v>
      </c>
      <c r="H282" t="str">
        <f>VLOOKUP(D282,'Rates from Tracker'!A:C,3,0)</f>
        <v>SSR Holdings LLC</v>
      </c>
      <c r="I282" t="str">
        <f>VLOOKUP(Table11[[#This Row],[Franchisee]],'Rates from Tracker'!C:D,2,0)</f>
        <v>Bikram</v>
      </c>
      <c r="J282" s="10">
        <f>ROUND(IF(Table11[[#This Row],[Location]]="Belmont Market",Table11[[#This Row],[Column2]]*0.01,IF(Table11[[#This Row],[Location]]="Country Club Centre",Table11[[#This Row],[Column2]]*0.01,IF(Table11[[#This Row],[Location]]="Naval Air Station Norfolk",Table11[[#This Row],[Column2]]*0.005,F282*0.02))),2)</f>
        <v>51.01</v>
      </c>
      <c r="K28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82" s="11">
        <f t="shared" si="10"/>
        <v>25.51</v>
      </c>
      <c r="M282" s="10">
        <f t="shared" si="11"/>
        <v>76.52</v>
      </c>
    </row>
    <row r="283" spans="1:13" x14ac:dyDescent="0.25">
      <c r="A283" s="143" t="str">
        <f>IF(Table11[[#This Row],[Date]]=0,"",IF(Table11[[#This Row],[Date]]&lt;(Summary!$B$3-6),1,""))</f>
        <v/>
      </c>
      <c r="B283" s="127">
        <v>46268</v>
      </c>
      <c r="C283" s="16">
        <v>384</v>
      </c>
      <c r="D283" s="16" t="s">
        <v>339</v>
      </c>
      <c r="E283" s="17">
        <v>3364.4</v>
      </c>
      <c r="F283" s="17">
        <v>3282.52</v>
      </c>
      <c r="G283" s="10" t="str">
        <f>VLOOKUP(Table11[[#This Row],[Store]],'Rates from Tracker'!A:B,2,0)</f>
        <v>Ralston Creek</v>
      </c>
      <c r="H283" t="str">
        <f>VLOOKUP(D283,'Rates from Tracker'!A:C,3,0)</f>
        <v>Best Pizza LLC</v>
      </c>
      <c r="I283" t="str">
        <f>VLOOKUP(Table11[[#This Row],[Franchisee]],'Rates from Tracker'!C:D,2,0)</f>
        <v>Merullo</v>
      </c>
      <c r="J283" s="10">
        <f>ROUND(IF(Table11[[#This Row],[Location]]="Belmont Market",Table11[[#This Row],[Column2]]*0.01,IF(Table11[[#This Row],[Location]]="Country Club Centre",Table11[[#This Row],[Column2]]*0.01,IF(Table11[[#This Row],[Location]]="Naval Air Station Norfolk",Table11[[#This Row],[Column2]]*0.005,F283*0.02))),2)</f>
        <v>65.650000000000006</v>
      </c>
      <c r="K28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83" s="11">
        <f t="shared" si="10"/>
        <v>164.13</v>
      </c>
      <c r="M283" s="10">
        <f t="shared" si="11"/>
        <v>229.78</v>
      </c>
    </row>
    <row r="284" spans="1:13" x14ac:dyDescent="0.25">
      <c r="A284" s="143" t="str">
        <f>IF(Table11[[#This Row],[Date]]=0,"",IF(Table11[[#This Row],[Date]]&lt;(Summary!$B$3-6),1,""))</f>
        <v/>
      </c>
      <c r="B284" s="127">
        <v>46268</v>
      </c>
      <c r="C284" s="16">
        <v>413</v>
      </c>
      <c r="D284" s="16" t="s">
        <v>322</v>
      </c>
      <c r="E284" s="17">
        <v>1281.54</v>
      </c>
      <c r="F284" s="17">
        <v>1271.04</v>
      </c>
      <c r="G284" s="10" t="str">
        <f>VLOOKUP(Table11[[#This Row],[Store]],'Rates from Tracker'!A:B,2,0)</f>
        <v>Madison</v>
      </c>
      <c r="H284" t="str">
        <f>VLOOKUP(D284,'Rates from Tracker'!A:C,3,0)</f>
        <v>APizza Delight Inc</v>
      </c>
      <c r="I284" t="str">
        <f>VLOOKUP(Table11[[#This Row],[Franchisee]],'Rates from Tracker'!C:D,2,0)</f>
        <v>Patel</v>
      </c>
      <c r="J284" s="10">
        <f>ROUND(IF(Table11[[#This Row],[Location]]="Belmont Market",Table11[[#This Row],[Column2]]*0.01,IF(Table11[[#This Row],[Location]]="Country Club Centre",Table11[[#This Row],[Column2]]*0.01,IF(Table11[[#This Row],[Location]]="Naval Air Station Norfolk",Table11[[#This Row],[Column2]]*0.005,F284*0.02))),2)</f>
        <v>25.42</v>
      </c>
      <c r="K28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84" s="11">
        <f t="shared" si="10"/>
        <v>12.71</v>
      </c>
      <c r="M284" s="10">
        <f t="shared" si="11"/>
        <v>38.130000000000003</v>
      </c>
    </row>
    <row r="285" spans="1:13" x14ac:dyDescent="0.25">
      <c r="A285" s="143" t="str">
        <f>IF(Table11[[#This Row],[Date]]=0,"",IF(Table11[[#This Row],[Date]]&lt;(Summary!$B$3-6),1,""))</f>
        <v/>
      </c>
      <c r="B285" s="127">
        <v>46268</v>
      </c>
      <c r="C285" s="16">
        <v>421</v>
      </c>
      <c r="D285" s="16" t="s">
        <v>575</v>
      </c>
      <c r="E285" s="17">
        <v>2692.74</v>
      </c>
      <c r="F285" s="17">
        <v>2574.46</v>
      </c>
      <c r="G285" s="10" t="str">
        <f>VLOOKUP(Table11[[#This Row],[Store]],'Rates from Tracker'!A:B,2,0)</f>
        <v>Fort Union</v>
      </c>
      <c r="H285" t="str">
        <f>VLOOKUP(D285,'Rates from Tracker'!A:C,3,0)</f>
        <v>SSR Holdings LLC</v>
      </c>
      <c r="I285" t="str">
        <f>VLOOKUP(Table11[[#This Row],[Franchisee]],'Rates from Tracker'!C:D,2,0)</f>
        <v>Bikram</v>
      </c>
      <c r="J285" s="10">
        <f>ROUND(IF(Table11[[#This Row],[Location]]="Belmont Market",Table11[[#This Row],[Column2]]*0.01,IF(Table11[[#This Row],[Location]]="Country Club Centre",Table11[[#This Row],[Column2]]*0.01,IF(Table11[[#This Row],[Location]]="Naval Air Station Norfolk",Table11[[#This Row],[Column2]]*0.005,F285*0.02))),2)</f>
        <v>51.49</v>
      </c>
      <c r="K28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85" s="11">
        <f t="shared" si="10"/>
        <v>25.74</v>
      </c>
      <c r="M285" s="10">
        <f t="shared" si="11"/>
        <v>77.23</v>
      </c>
    </row>
    <row r="286" spans="1:13" x14ac:dyDescent="0.25">
      <c r="A286" s="143" t="str">
        <f>IF(Table11[[#This Row],[Date]]=0,"",IF(Table11[[#This Row],[Date]]&lt;(Summary!$B$3-6),1,""))</f>
        <v/>
      </c>
      <c r="B286" s="127">
        <v>46268</v>
      </c>
      <c r="C286" s="16">
        <v>425</v>
      </c>
      <c r="D286" s="16" t="s">
        <v>381</v>
      </c>
      <c r="E286" s="17">
        <v>3448.88</v>
      </c>
      <c r="F286" s="17">
        <v>3359.22</v>
      </c>
      <c r="G286" s="10" t="str">
        <f>VLOOKUP(Table11[[#This Row],[Store]],'Rates from Tracker'!A:B,2,0)</f>
        <v>Crown Point</v>
      </c>
      <c r="H286" t="str">
        <f>VLOOKUP(D286,'Rates from Tracker'!A:C,3,0)</f>
        <v>Best Pizza LLC</v>
      </c>
      <c r="I286" t="str">
        <f>VLOOKUP(Table11[[#This Row],[Franchisee]],'Rates from Tracker'!C:D,2,0)</f>
        <v>Merullo</v>
      </c>
      <c r="J286" s="10">
        <f>ROUND(IF(Table11[[#This Row],[Location]]="Belmont Market",Table11[[#This Row],[Column2]]*0.01,IF(Table11[[#This Row],[Location]]="Country Club Centre",Table11[[#This Row],[Column2]]*0.01,IF(Table11[[#This Row],[Location]]="Naval Air Station Norfolk",Table11[[#This Row],[Column2]]*0.005,F286*0.02))),2)</f>
        <v>67.180000000000007</v>
      </c>
      <c r="K28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86" s="11">
        <f t="shared" si="10"/>
        <v>167.96</v>
      </c>
      <c r="M286" s="10">
        <f t="shared" si="11"/>
        <v>235.14000000000001</v>
      </c>
    </row>
    <row r="287" spans="1:13" x14ac:dyDescent="0.25">
      <c r="A287" s="143" t="str">
        <f>IF(Table11[[#This Row],[Date]]=0,"",IF(Table11[[#This Row],[Date]]&lt;(Summary!$B$3-6),1,""))</f>
        <v/>
      </c>
      <c r="B287" s="127">
        <v>46268</v>
      </c>
      <c r="C287" s="16">
        <v>429</v>
      </c>
      <c r="D287" s="16" t="s">
        <v>587</v>
      </c>
      <c r="E287" s="17">
        <v>1895.35</v>
      </c>
      <c r="F287" s="17">
        <v>1849.31</v>
      </c>
      <c r="G287" s="10" t="str">
        <f>VLOOKUP(Table11[[#This Row],[Store]],'Rates from Tracker'!A:B,2,0)</f>
        <v>South Jordan</v>
      </c>
      <c r="H287" t="str">
        <f>VLOOKUP(D287,'Rates from Tracker'!A:C,3,0)</f>
        <v>SSR Holdings LLC</v>
      </c>
      <c r="I287" t="str">
        <f>VLOOKUP(Table11[[#This Row],[Franchisee]],'Rates from Tracker'!C:D,2,0)</f>
        <v>Bikram</v>
      </c>
      <c r="J287" s="10">
        <f>ROUND(IF(Table11[[#This Row],[Location]]="Belmont Market",Table11[[#This Row],[Column2]]*0.01,IF(Table11[[#This Row],[Location]]="Country Club Centre",Table11[[#This Row],[Column2]]*0.01,IF(Table11[[#This Row],[Location]]="Naval Air Station Norfolk",Table11[[#This Row],[Column2]]*0.005,F287*0.02))),2)</f>
        <v>36.99</v>
      </c>
      <c r="K28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87" s="11">
        <f t="shared" si="10"/>
        <v>18.489999999999998</v>
      </c>
      <c r="M287" s="10">
        <f t="shared" si="11"/>
        <v>55.480000000000004</v>
      </c>
    </row>
    <row r="288" spans="1:13" x14ac:dyDescent="0.25">
      <c r="A288" s="143" t="str">
        <f>IF(Table11[[#This Row],[Date]]=0,"",IF(Table11[[#This Row],[Date]]&lt;(Summary!$B$3-6),1,""))</f>
        <v/>
      </c>
      <c r="B288" s="127">
        <v>46268</v>
      </c>
      <c r="C288" s="16">
        <v>433</v>
      </c>
      <c r="D288" s="16" t="s">
        <v>576</v>
      </c>
      <c r="E288" s="17">
        <v>2159.27</v>
      </c>
      <c r="F288" s="17">
        <v>2101.2600000000002</v>
      </c>
      <c r="G288" s="10" t="str">
        <f>VLOOKUP(Table11[[#This Row],[Store]],'Rates from Tracker'!A:B,2,0)</f>
        <v>Grants Pass</v>
      </c>
      <c r="H288" t="str">
        <f>VLOOKUP(D288,'Rates from Tracker'!A:C,3,0)</f>
        <v>SSR Holdings LLC</v>
      </c>
      <c r="I288" t="str">
        <f>VLOOKUP(Table11[[#This Row],[Franchisee]],'Rates from Tracker'!C:D,2,0)</f>
        <v>Bikram</v>
      </c>
      <c r="J288" s="10">
        <f>ROUND(IF(Table11[[#This Row],[Location]]="Belmont Market",Table11[[#This Row],[Column2]]*0.01,IF(Table11[[#This Row],[Location]]="Country Club Centre",Table11[[#This Row],[Column2]]*0.01,IF(Table11[[#This Row],[Location]]="Naval Air Station Norfolk",Table11[[#This Row],[Column2]]*0.005,F288*0.02))),2)</f>
        <v>42.03</v>
      </c>
      <c r="K28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88" s="11">
        <f t="shared" si="10"/>
        <v>21.01</v>
      </c>
      <c r="M288" s="10">
        <f t="shared" si="11"/>
        <v>63.040000000000006</v>
      </c>
    </row>
    <row r="289" spans="1:13" x14ac:dyDescent="0.25">
      <c r="A289" s="143" t="str">
        <f>IF(Table11[[#This Row],[Date]]=0,"",IF(Table11[[#This Row],[Date]]&lt;(Summary!$B$3-6),1,""))</f>
        <v/>
      </c>
      <c r="B289" s="127">
        <v>46268</v>
      </c>
      <c r="C289" s="16">
        <v>452</v>
      </c>
      <c r="D289" s="16" t="s">
        <v>346</v>
      </c>
      <c r="E289" s="17">
        <v>1324.77</v>
      </c>
      <c r="F289" s="17">
        <v>1310.77</v>
      </c>
      <c r="G289" s="10" t="str">
        <f>VLOOKUP(Table11[[#This Row],[Store]],'Rates from Tracker'!A:B,2,0)</f>
        <v>Mobile</v>
      </c>
      <c r="H289" t="str">
        <f>VLOOKUP(D289,'Rates from Tracker'!A:C,3,0)</f>
        <v>MAA MELDI 3980 Inc</v>
      </c>
      <c r="I289" t="str">
        <f>VLOOKUP(Table11[[#This Row],[Franchisee]],'Rates from Tracker'!C:D,2,0)</f>
        <v>Neal Patel</v>
      </c>
      <c r="J289" s="10">
        <f>ROUND(IF(Table11[[#This Row],[Location]]="Belmont Market",Table11[[#This Row],[Column2]]*0.01,IF(Table11[[#This Row],[Location]]="Country Club Centre",Table11[[#This Row],[Column2]]*0.01,IF(Table11[[#This Row],[Location]]="Naval Air Station Norfolk",Table11[[#This Row],[Column2]]*0.005,F289*0.02))),2)</f>
        <v>26.22</v>
      </c>
      <c r="K28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89" s="11">
        <f t="shared" si="10"/>
        <v>13.11</v>
      </c>
      <c r="M289" s="10">
        <f t="shared" si="11"/>
        <v>39.33</v>
      </c>
    </row>
    <row r="290" spans="1:13" x14ac:dyDescent="0.25">
      <c r="A290" s="143" t="str">
        <f>IF(Table11[[#This Row],[Date]]=0,"",IF(Table11[[#This Row],[Date]]&lt;(Summary!$B$3-6),1,""))</f>
        <v/>
      </c>
      <c r="B290" s="127">
        <v>46268</v>
      </c>
      <c r="C290" s="16">
        <v>478</v>
      </c>
      <c r="D290" s="16" t="s">
        <v>581</v>
      </c>
      <c r="E290" s="17">
        <v>1285.8900000000001</v>
      </c>
      <c r="F290" s="17">
        <v>1238.6199999999999</v>
      </c>
      <c r="G290" s="10" t="str">
        <f>VLOOKUP(Table11[[#This Row],[Store]],'Rates from Tracker'!A:B,2,0)</f>
        <v>Pocatello</v>
      </c>
      <c r="H290" t="str">
        <f>VLOOKUP(D290,'Rates from Tracker'!A:C,3,0)</f>
        <v>SSR Holdings LLC</v>
      </c>
      <c r="I290" t="str">
        <f>VLOOKUP(Table11[[#This Row],[Franchisee]],'Rates from Tracker'!C:D,2,0)</f>
        <v>Bikram</v>
      </c>
      <c r="J290" s="10">
        <f>ROUND(IF(Table11[[#This Row],[Location]]="Belmont Market",Table11[[#This Row],[Column2]]*0.01,IF(Table11[[#This Row],[Location]]="Country Club Centre",Table11[[#This Row],[Column2]]*0.01,IF(Table11[[#This Row],[Location]]="Naval Air Station Norfolk",Table11[[#This Row],[Column2]]*0.005,F290*0.02))),2)</f>
        <v>24.77</v>
      </c>
      <c r="K29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90" s="11">
        <f t="shared" si="10"/>
        <v>12.39</v>
      </c>
      <c r="M290" s="10">
        <f t="shared" si="11"/>
        <v>37.159999999999997</v>
      </c>
    </row>
    <row r="291" spans="1:13" x14ac:dyDescent="0.25">
      <c r="A291" s="143" t="str">
        <f>IF(Table11[[#This Row],[Date]]=0,"",IF(Table11[[#This Row],[Date]]&lt;(Summary!$B$3-6),1,""))</f>
        <v/>
      </c>
      <c r="B291" s="127">
        <v>46268</v>
      </c>
      <c r="C291" s="16">
        <v>514</v>
      </c>
      <c r="D291" s="16" t="s">
        <v>589</v>
      </c>
      <c r="E291" s="17">
        <v>2605.2199999999998</v>
      </c>
      <c r="F291" s="17">
        <v>2554.67</v>
      </c>
      <c r="G291" s="10" t="str">
        <f>VLOOKUP(Table11[[#This Row],[Store]],'Rates from Tracker'!A:B,2,0)</f>
        <v>Spanish Fork</v>
      </c>
      <c r="H291" t="str">
        <f>VLOOKUP(D291,'Rates from Tracker'!A:C,3,0)</f>
        <v>SSR Holdings LLC</v>
      </c>
      <c r="I291" t="str">
        <f>VLOOKUP(Table11[[#This Row],[Franchisee]],'Rates from Tracker'!C:D,2,0)</f>
        <v>Bikram</v>
      </c>
      <c r="J291" s="10">
        <f>ROUND(IF(Table11[[#This Row],[Location]]="Belmont Market",Table11[[#This Row],[Column2]]*0.01,IF(Table11[[#This Row],[Location]]="Country Club Centre",Table11[[#This Row],[Column2]]*0.01,IF(Table11[[#This Row],[Location]]="Naval Air Station Norfolk",Table11[[#This Row],[Column2]]*0.005,F291*0.02))),2)</f>
        <v>51.09</v>
      </c>
      <c r="K29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91" s="11">
        <f t="shared" si="10"/>
        <v>25.55</v>
      </c>
      <c r="M291" s="10">
        <f t="shared" si="11"/>
        <v>76.64</v>
      </c>
    </row>
    <row r="292" spans="1:13" x14ac:dyDescent="0.25">
      <c r="A292" s="143" t="str">
        <f>IF(Table11[[#This Row],[Date]]=0,"",IF(Table11[[#This Row],[Date]]&lt;(Summary!$B$3-6),1,""))</f>
        <v/>
      </c>
      <c r="B292" s="127">
        <v>46268</v>
      </c>
      <c r="C292" s="16">
        <v>515</v>
      </c>
      <c r="D292" s="16" t="s">
        <v>574</v>
      </c>
      <c r="E292" s="17">
        <v>1984.79</v>
      </c>
      <c r="F292" s="17">
        <v>1983.48</v>
      </c>
      <c r="G292" s="10" t="str">
        <f>VLOOKUP(Table11[[#This Row],[Store]],'Rates from Tracker'!A:B,2,0)</f>
        <v>Downtown Boise</v>
      </c>
      <c r="H292" t="str">
        <f>VLOOKUP(D292,'Rates from Tracker'!A:C,3,0)</f>
        <v>SSR Holdings LLC</v>
      </c>
      <c r="I292" t="str">
        <f>VLOOKUP(Table11[[#This Row],[Franchisee]],'Rates from Tracker'!C:D,2,0)</f>
        <v>Bikram</v>
      </c>
      <c r="J292" s="10">
        <f>ROUND(IF(Table11[[#This Row],[Location]]="Belmont Market",Table11[[#This Row],[Column2]]*0.01,IF(Table11[[#This Row],[Location]]="Country Club Centre",Table11[[#This Row],[Column2]]*0.01,IF(Table11[[#This Row],[Location]]="Naval Air Station Norfolk",Table11[[#This Row],[Column2]]*0.005,F292*0.02))),2)</f>
        <v>39.67</v>
      </c>
      <c r="K29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92" s="11">
        <f t="shared" si="10"/>
        <v>19.829999999999998</v>
      </c>
      <c r="M292" s="10">
        <f t="shared" si="11"/>
        <v>59.5</v>
      </c>
    </row>
    <row r="293" spans="1:13" x14ac:dyDescent="0.25">
      <c r="A293" s="143" t="str">
        <f>IF(Table11[[#This Row],[Date]]=0,"",IF(Table11[[#This Row],[Date]]&lt;(Summary!$B$3-6),1,""))</f>
        <v/>
      </c>
      <c r="B293" s="127">
        <v>46268</v>
      </c>
      <c r="C293" s="16">
        <v>521</v>
      </c>
      <c r="D293" s="16" t="s">
        <v>573</v>
      </c>
      <c r="E293" s="17">
        <v>1990.62</v>
      </c>
      <c r="F293" s="17">
        <v>1926.17</v>
      </c>
      <c r="G293" s="10" t="str">
        <f>VLOOKUP(Table11[[#This Row],[Store]],'Rates from Tracker'!A:B,2,0)</f>
        <v>Boise Town Square</v>
      </c>
      <c r="H293" t="str">
        <f>VLOOKUP(D293,'Rates from Tracker'!A:C,3,0)</f>
        <v>SSR Holdings LLC</v>
      </c>
      <c r="I293" t="str">
        <f>VLOOKUP(Table11[[#This Row],[Franchisee]],'Rates from Tracker'!C:D,2,0)</f>
        <v>Bikram</v>
      </c>
      <c r="J293" s="10">
        <f>ROUND(IF(Table11[[#This Row],[Location]]="Belmont Market",Table11[[#This Row],[Column2]]*0.01,IF(Table11[[#This Row],[Location]]="Country Club Centre",Table11[[#This Row],[Column2]]*0.01,IF(Table11[[#This Row],[Location]]="Naval Air Station Norfolk",Table11[[#This Row],[Column2]]*0.005,F293*0.02))),2)</f>
        <v>38.520000000000003</v>
      </c>
      <c r="K29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293" s="11">
        <f t="shared" si="10"/>
        <v>19.260000000000002</v>
      </c>
      <c r="M293" s="10">
        <f t="shared" si="11"/>
        <v>57.78</v>
      </c>
    </row>
    <row r="294" spans="1:13" x14ac:dyDescent="0.25">
      <c r="A294" s="143" t="str">
        <f>IF(Table11[[#This Row],[Date]]=0,"",IF(Table11[[#This Row],[Date]]&lt;(Summary!$B$3-6),1,""))</f>
        <v/>
      </c>
      <c r="B294" s="127">
        <v>46268</v>
      </c>
      <c r="C294" s="16">
        <v>586</v>
      </c>
      <c r="D294" s="16" t="s">
        <v>453</v>
      </c>
      <c r="E294" s="17">
        <v>3589.1</v>
      </c>
      <c r="F294" s="17">
        <v>3521.9</v>
      </c>
      <c r="G294" s="10" t="str">
        <f>VLOOKUP(Table11[[#This Row],[Store]],'Rates from Tracker'!A:B,2,0)</f>
        <v>Johnstown</v>
      </c>
      <c r="H294" t="str">
        <f>VLOOKUP(D294,'Rates from Tracker'!A:C,3,0)</f>
        <v>Best Pizza LLC</v>
      </c>
      <c r="I294" t="str">
        <f>VLOOKUP(Table11[[#This Row],[Franchisee]],'Rates from Tracker'!C:D,2,0)</f>
        <v>Merullo</v>
      </c>
      <c r="J294" s="10">
        <f>ROUND(IF(Table11[[#This Row],[Location]]="Belmont Market",Table11[[#This Row],[Column2]]*0.01,IF(Table11[[#This Row],[Location]]="Country Club Centre",Table11[[#This Row],[Column2]]*0.01,IF(Table11[[#This Row],[Location]]="Naval Air Station Norfolk",Table11[[#This Row],[Column2]]*0.005,F294*0.02))),2)</f>
        <v>70.44</v>
      </c>
      <c r="K29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94" s="11">
        <f t="shared" si="10"/>
        <v>176.1</v>
      </c>
      <c r="M294" s="10">
        <f t="shared" si="11"/>
        <v>246.54</v>
      </c>
    </row>
    <row r="295" spans="1:13" x14ac:dyDescent="0.25">
      <c r="A295" s="143" t="str">
        <f>IF(Table11[[#This Row],[Date]]=0,"",IF(Table11[[#This Row],[Date]]&lt;(Summary!$B$3-6),1,""))</f>
        <v/>
      </c>
      <c r="B295" s="127">
        <v>46268</v>
      </c>
      <c r="C295" s="16">
        <v>605</v>
      </c>
      <c r="D295" s="16" t="s">
        <v>501</v>
      </c>
      <c r="E295" s="17">
        <v>2906.59</v>
      </c>
      <c r="F295" s="17">
        <v>2842.81</v>
      </c>
      <c r="G295" s="10" t="str">
        <f>VLOOKUP(Table11[[#This Row],[Store]],'Rates from Tracker'!A:B,2,0)</f>
        <v>Campus Oaks</v>
      </c>
      <c r="H295" t="str">
        <f>VLOOKUP(D295,'Rates from Tracker'!A:C,3,0)</f>
        <v>Exceed Group Campus Oaks</v>
      </c>
      <c r="I295" t="str">
        <f>VLOOKUP(Table11[[#This Row],[Franchisee]],'Rates from Tracker'!C:D,2,0)</f>
        <v>Chawla</v>
      </c>
      <c r="J295" s="10">
        <f>ROUND(IF(Table11[[#This Row],[Location]]="Belmont Market",Table11[[#This Row],[Column2]]*0.01,IF(Table11[[#This Row],[Location]]="Country Club Centre",Table11[[#This Row],[Column2]]*0.01,IF(Table11[[#This Row],[Location]]="Naval Air Station Norfolk",Table11[[#This Row],[Column2]]*0.005,F295*0.02))),2)</f>
        <v>56.86</v>
      </c>
      <c r="K29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95" s="11">
        <f t="shared" si="10"/>
        <v>142.13999999999999</v>
      </c>
      <c r="M295" s="10">
        <f t="shared" si="11"/>
        <v>199</v>
      </c>
    </row>
    <row r="296" spans="1:13" x14ac:dyDescent="0.25">
      <c r="A296" s="143" t="str">
        <f>IF(Table11[[#This Row],[Date]]=0,"",IF(Table11[[#This Row],[Date]]&lt;(Summary!$B$3-6),1,""))</f>
        <v/>
      </c>
      <c r="B296" s="127">
        <v>46268</v>
      </c>
      <c r="C296" s="16">
        <v>607</v>
      </c>
      <c r="D296" s="16" t="s">
        <v>481</v>
      </c>
      <c r="E296" s="17">
        <v>3212.91</v>
      </c>
      <c r="F296" s="17">
        <v>3161.03</v>
      </c>
      <c r="G296" s="10" t="str">
        <f>VLOOKUP(Table11[[#This Row],[Store]],'Rates from Tracker'!A:B,2,0)</f>
        <v>Tower</v>
      </c>
      <c r="H296" t="str">
        <f>VLOOKUP(D296,'Rates from Tracker'!A:C,3,0)</f>
        <v>Best Pizza LLC</v>
      </c>
      <c r="I296" t="str">
        <f>VLOOKUP(Table11[[#This Row],[Franchisee]],'Rates from Tracker'!C:D,2,0)</f>
        <v>Merullo</v>
      </c>
      <c r="J296" s="10">
        <f>ROUND(IF(Table11[[#This Row],[Location]]="Belmont Market",Table11[[#This Row],[Column2]]*0.01,IF(Table11[[#This Row],[Location]]="Country Club Centre",Table11[[#This Row],[Column2]]*0.01,IF(Table11[[#This Row],[Location]]="Naval Air Station Norfolk",Table11[[#This Row],[Column2]]*0.005,F296*0.02))),2)</f>
        <v>63.22</v>
      </c>
      <c r="K29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96" s="11">
        <f t="shared" si="10"/>
        <v>158.05000000000001</v>
      </c>
      <c r="M296" s="10">
        <f t="shared" si="11"/>
        <v>221.27</v>
      </c>
    </row>
    <row r="297" spans="1:13" x14ac:dyDescent="0.25">
      <c r="A297" s="143" t="str">
        <f>IF(Table11[[#This Row],[Date]]=0,"",IF(Table11[[#This Row],[Date]]&lt;(Summary!$B$3-6),1,""))</f>
        <v/>
      </c>
      <c r="B297" s="127">
        <v>46268</v>
      </c>
      <c r="C297" s="16">
        <v>608</v>
      </c>
      <c r="D297" s="16" t="s">
        <v>488</v>
      </c>
      <c r="E297" s="17">
        <v>3459.01</v>
      </c>
      <c r="F297" s="17">
        <v>3368.68</v>
      </c>
      <c r="G297" s="10" t="str">
        <f>VLOOKUP(Table11[[#This Row],[Store]],'Rates from Tracker'!A:B,2,0)</f>
        <v>Sheridan Parkway</v>
      </c>
      <c r="H297" t="str">
        <f>VLOOKUP(D297,'Rates from Tracker'!A:C,3,0)</f>
        <v>Best Pizza LLC</v>
      </c>
      <c r="I297" t="str">
        <f>VLOOKUP(Table11[[#This Row],[Franchisee]],'Rates from Tracker'!C:D,2,0)</f>
        <v>Merullo</v>
      </c>
      <c r="J297" s="10">
        <f>ROUND(IF(Table11[[#This Row],[Location]]="Belmont Market",Table11[[#This Row],[Column2]]*0.01,IF(Table11[[#This Row],[Location]]="Country Club Centre",Table11[[#This Row],[Column2]]*0.01,IF(Table11[[#This Row],[Location]]="Naval Air Station Norfolk",Table11[[#This Row],[Column2]]*0.005,F297*0.02))),2)</f>
        <v>67.37</v>
      </c>
      <c r="K29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97" s="11">
        <f t="shared" si="10"/>
        <v>168.43</v>
      </c>
      <c r="M297" s="10">
        <f t="shared" si="11"/>
        <v>235.8</v>
      </c>
    </row>
    <row r="298" spans="1:13" x14ac:dyDescent="0.25">
      <c r="A298" s="143" t="str">
        <f>IF(Table11[[#This Row],[Date]]=0,"",IF(Table11[[#This Row],[Date]]&lt;(Summary!$B$3-6),1,""))</f>
        <v/>
      </c>
      <c r="B298" s="127">
        <v>46268</v>
      </c>
      <c r="C298" s="16">
        <v>616</v>
      </c>
      <c r="D298" s="16" t="s">
        <v>480</v>
      </c>
      <c r="E298" s="17">
        <v>2597.09</v>
      </c>
      <c r="F298" s="17">
        <v>2499.04</v>
      </c>
      <c r="G298" s="10" t="str">
        <f>VLOOKUP(Table11[[#This Row],[Store]],'Rates from Tracker'!A:B,2,0)</f>
        <v>Eureka</v>
      </c>
      <c r="H298" t="str">
        <f>VLOOKUP(D298,'Rates from Tracker'!A:C,3,0)</f>
        <v>Exceed Group Eureka</v>
      </c>
      <c r="I298" t="str">
        <f>VLOOKUP(Table11[[#This Row],[Franchisee]],'Rates from Tracker'!C:D,2,0)</f>
        <v>Chawla</v>
      </c>
      <c r="J298" s="10">
        <f>ROUND(IF(Table11[[#This Row],[Location]]="Belmont Market",Table11[[#This Row],[Column2]]*0.01,IF(Table11[[#This Row],[Location]]="Country Club Centre",Table11[[#This Row],[Column2]]*0.01,IF(Table11[[#This Row],[Location]]="Naval Air Station Norfolk",Table11[[#This Row],[Column2]]*0.005,F298*0.02))),2)</f>
        <v>49.98</v>
      </c>
      <c r="K29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98" s="11">
        <f t="shared" si="10"/>
        <v>124.95</v>
      </c>
      <c r="M298" s="10">
        <f t="shared" si="11"/>
        <v>174.93</v>
      </c>
    </row>
    <row r="299" spans="1:13" x14ac:dyDescent="0.25">
      <c r="A299" s="143" t="str">
        <f>IF(Table11[[#This Row],[Date]]=0,"",IF(Table11[[#This Row],[Date]]&lt;(Summary!$B$3-6),1,""))</f>
        <v/>
      </c>
      <c r="B299" s="127">
        <v>46268</v>
      </c>
      <c r="C299" s="16">
        <v>617</v>
      </c>
      <c r="D299" s="16" t="s">
        <v>494</v>
      </c>
      <c r="E299" s="17">
        <v>2217.0700000000002</v>
      </c>
      <c r="F299" s="17">
        <v>2160.96</v>
      </c>
      <c r="G299" s="10" t="str">
        <f>VLOOKUP(Table11[[#This Row],[Store]],'Rates from Tracker'!A:B,2,0)</f>
        <v>Lowry</v>
      </c>
      <c r="H299" t="str">
        <f>VLOOKUP(D299,'Rates from Tracker'!A:C,3,0)</f>
        <v>Best Pizza LLC</v>
      </c>
      <c r="I299" t="str">
        <f>VLOOKUP(Table11[[#This Row],[Franchisee]],'Rates from Tracker'!C:D,2,0)</f>
        <v>Merullo</v>
      </c>
      <c r="J299" s="10">
        <f>ROUND(IF(Table11[[#This Row],[Location]]="Belmont Market",Table11[[#This Row],[Column2]]*0.01,IF(Table11[[#This Row],[Location]]="Country Club Centre",Table11[[#This Row],[Column2]]*0.01,IF(Table11[[#This Row],[Location]]="Naval Air Station Norfolk",Table11[[#This Row],[Column2]]*0.005,F299*0.02))),2)</f>
        <v>43.22</v>
      </c>
      <c r="K29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299" s="11">
        <f t="shared" si="10"/>
        <v>108.05</v>
      </c>
      <c r="M299" s="10">
        <f t="shared" si="11"/>
        <v>151.26999999999998</v>
      </c>
    </row>
    <row r="300" spans="1:13" x14ac:dyDescent="0.25">
      <c r="A300" s="143" t="str">
        <f>IF(Table11[[#This Row],[Date]]=0,"",IF(Table11[[#This Row],[Date]]&lt;(Summary!$B$3-6),1,""))</f>
        <v/>
      </c>
      <c r="B300" s="127">
        <v>46268</v>
      </c>
      <c r="C300" s="16">
        <v>648</v>
      </c>
      <c r="D300" s="16" t="s">
        <v>454</v>
      </c>
      <c r="E300" s="17">
        <v>2893.59</v>
      </c>
      <c r="F300" s="17">
        <v>2722.47</v>
      </c>
      <c r="G300" s="10" t="str">
        <f>VLOOKUP(Table11[[#This Row],[Store]],'Rates from Tracker'!A:B,2,0)</f>
        <v>Belmont Market</v>
      </c>
      <c r="H300" t="str">
        <f>VLOOKUP(D300,'Rates from Tracker'!A:C,3,0)</f>
        <v>V.I. Pizza Belmont</v>
      </c>
      <c r="I300" t="str">
        <f>VLOOKUP(Table11[[#This Row],[Franchisee]],'Rates from Tracker'!C:D,2,0)</f>
        <v>Hayden</v>
      </c>
      <c r="J300" s="10">
        <f>ROUND(IF(Table11[[#This Row],[Location]]="Belmont Market",Table11[[#This Row],[Column2]]*0.01,IF(Table11[[#This Row],[Location]]="Country Club Centre",Table11[[#This Row],[Column2]]*0.01,IF(Table11[[#This Row],[Location]]="Naval Air Station Norfolk",Table11[[#This Row],[Column2]]*0.005,F300*0.02))),2)</f>
        <v>27.22</v>
      </c>
      <c r="K30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300" s="11">
        <f t="shared" si="10"/>
        <v>54.45</v>
      </c>
      <c r="M300" s="10">
        <f t="shared" si="11"/>
        <v>81.67</v>
      </c>
    </row>
    <row r="301" spans="1:13" x14ac:dyDescent="0.25">
      <c r="A301" s="143" t="str">
        <f>IF(Table11[[#This Row],[Date]]=0,"",IF(Table11[[#This Row],[Date]]&lt;(Summary!$B$3-6),1,""))</f>
        <v/>
      </c>
      <c r="B301" s="127">
        <v>46268</v>
      </c>
      <c r="C301" s="16">
        <v>659</v>
      </c>
      <c r="D301" s="16" t="s">
        <v>570</v>
      </c>
      <c r="E301" s="17">
        <v>1892.57</v>
      </c>
      <c r="F301" s="17">
        <v>1840.12</v>
      </c>
      <c r="G301" s="10" t="str">
        <f>VLOOKUP(Table11[[#This Row],[Store]],'Rates from Tracker'!A:B,2,0)</f>
        <v>Ammon</v>
      </c>
      <c r="H301" t="str">
        <f>VLOOKUP(D301,'Rates from Tracker'!A:C,3,0)</f>
        <v>SSR Holdings LLC</v>
      </c>
      <c r="I301" t="str">
        <f>VLOOKUP(Table11[[#This Row],[Franchisee]],'Rates from Tracker'!C:D,2,0)</f>
        <v>Bikram</v>
      </c>
      <c r="J301" s="10">
        <f>ROUND(IF(Table11[[#This Row],[Location]]="Belmont Market",Table11[[#This Row],[Column2]]*0.01,IF(Table11[[#This Row],[Location]]="Country Club Centre",Table11[[#This Row],[Column2]]*0.01,IF(Table11[[#This Row],[Location]]="Naval Air Station Norfolk",Table11[[#This Row],[Column2]]*0.005,F301*0.02))),2)</f>
        <v>36.799999999999997</v>
      </c>
      <c r="K30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01" s="11">
        <f t="shared" si="10"/>
        <v>18.399999999999999</v>
      </c>
      <c r="M301" s="10">
        <f t="shared" si="11"/>
        <v>55.199999999999996</v>
      </c>
    </row>
    <row r="302" spans="1:13" x14ac:dyDescent="0.25">
      <c r="A302" s="143" t="str">
        <f>IF(Table11[[#This Row],[Date]]=0,"",IF(Table11[[#This Row],[Date]]&lt;(Summary!$B$3-6),1,""))</f>
        <v/>
      </c>
      <c r="B302" s="127">
        <v>46268</v>
      </c>
      <c r="C302" s="16">
        <v>699</v>
      </c>
      <c r="D302" s="16" t="s">
        <v>521</v>
      </c>
      <c r="E302" s="17">
        <v>2591.71</v>
      </c>
      <c r="F302" s="17">
        <v>2558.7600000000002</v>
      </c>
      <c r="G302" s="10" t="str">
        <f>VLOOKUP(Table11[[#This Row],[Store]],'Rates from Tracker'!A:B,2,0)</f>
        <v>Grand Junction</v>
      </c>
      <c r="H302" t="str">
        <f>VLOOKUP(D302,'Rates from Tracker'!A:C,3,0)</f>
        <v>Best Pizza LLC</v>
      </c>
      <c r="I302" t="str">
        <f>VLOOKUP(Table11[[#This Row],[Franchisee]],'Rates from Tracker'!C:D,2,0)</f>
        <v>Merullo</v>
      </c>
      <c r="J302" s="10">
        <f>ROUND(IF(Table11[[#This Row],[Location]]="Belmont Market",Table11[[#This Row],[Column2]]*0.01,IF(Table11[[#This Row],[Location]]="Country Club Centre",Table11[[#This Row],[Column2]]*0.01,IF(Table11[[#This Row],[Location]]="Naval Air Station Norfolk",Table11[[#This Row],[Column2]]*0.005,F302*0.02))),2)</f>
        <v>51.18</v>
      </c>
      <c r="K30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02" s="11">
        <f t="shared" si="10"/>
        <v>127.94</v>
      </c>
      <c r="M302" s="10">
        <f t="shared" si="11"/>
        <v>179.12</v>
      </c>
    </row>
    <row r="303" spans="1:13" x14ac:dyDescent="0.25">
      <c r="A303" s="143" t="str">
        <f>IF(Table11[[#This Row],[Date]]=0,"",IF(Table11[[#This Row],[Date]]&lt;(Summary!$B$3-6),1,""))</f>
        <v/>
      </c>
      <c r="B303" s="127">
        <v>46268</v>
      </c>
      <c r="C303" s="16">
        <v>711</v>
      </c>
      <c r="D303" s="16" t="s">
        <v>526</v>
      </c>
      <c r="E303" s="17">
        <v>1189.1500000000001</v>
      </c>
      <c r="F303" s="17">
        <v>1128.29</v>
      </c>
      <c r="G303" s="10" t="str">
        <f>VLOOKUP(Table11[[#This Row],[Store]],'Rates from Tracker'!A:B,2,0)</f>
        <v>Country Club Centre</v>
      </c>
      <c r="H303" t="str">
        <f>VLOOKUP(D303,'Rates from Tracker'!A:C,3,0)</f>
        <v>V.I. Pizza Country Club</v>
      </c>
      <c r="I303" t="str">
        <f>VLOOKUP(Table11[[#This Row],[Franchisee]],'Rates from Tracker'!C:D,2,0)</f>
        <v>Hayden</v>
      </c>
      <c r="J303" s="10">
        <f>ROUND(IF(Table11[[#This Row],[Location]]="Belmont Market",Table11[[#This Row],[Column2]]*0.01,IF(Table11[[#This Row],[Location]]="Country Club Centre",Table11[[#This Row],[Column2]]*0.01,IF(Table11[[#This Row],[Location]]="Naval Air Station Norfolk",Table11[[#This Row],[Column2]]*0.005,F303*0.02))),2)</f>
        <v>11.28</v>
      </c>
      <c r="K30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03" s="11">
        <f t="shared" si="10"/>
        <v>11.28</v>
      </c>
      <c r="M303" s="10">
        <f t="shared" si="11"/>
        <v>22.56</v>
      </c>
    </row>
    <row r="304" spans="1:13" x14ac:dyDescent="0.25">
      <c r="A304" s="143" t="str">
        <f>IF(Table11[[#This Row],[Date]]=0,"",IF(Table11[[#This Row],[Date]]&lt;(Summary!$B$3-6),1,""))</f>
        <v/>
      </c>
      <c r="B304" s="127">
        <v>46268</v>
      </c>
      <c r="C304" s="16">
        <v>722</v>
      </c>
      <c r="D304" s="16" t="s">
        <v>535</v>
      </c>
      <c r="E304" s="17">
        <v>2784.09</v>
      </c>
      <c r="F304" s="17">
        <v>2644.45</v>
      </c>
      <c r="G304" s="10" t="str">
        <f>VLOOKUP(Table11[[#This Row],[Store]],'Rates from Tracker'!A:B,2,0)</f>
        <v>Creekwalk</v>
      </c>
      <c r="H304" t="str">
        <f>VLOOKUP(D304,'Rates from Tracker'!A:C,3,0)</f>
        <v>Best Pizza LLC</v>
      </c>
      <c r="I304" t="str">
        <f>VLOOKUP(Table11[[#This Row],[Franchisee]],'Rates from Tracker'!C:D,2,0)</f>
        <v>Merullo</v>
      </c>
      <c r="J304" s="10">
        <f>ROUND(IF(Table11[[#This Row],[Location]]="Belmont Market",Table11[[#This Row],[Column2]]*0.01,IF(Table11[[#This Row],[Location]]="Country Club Centre",Table11[[#This Row],[Column2]]*0.01,IF(Table11[[#This Row],[Location]]="Naval Air Station Norfolk",Table11[[#This Row],[Column2]]*0.005,F304*0.02))),2)</f>
        <v>52.89</v>
      </c>
      <c r="K30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304" s="11">
        <f t="shared" si="10"/>
        <v>52.89</v>
      </c>
      <c r="M304" s="10">
        <f t="shared" si="11"/>
        <v>105.78</v>
      </c>
    </row>
    <row r="305" spans="1:13" x14ac:dyDescent="0.25">
      <c r="A305" s="143" t="str">
        <f>IF(Table11[[#This Row],[Date]]=0,"",IF(Table11[[#This Row],[Date]]&lt;(Summary!$B$3-6),1,""))</f>
        <v/>
      </c>
      <c r="B305" s="127">
        <v>46268</v>
      </c>
      <c r="C305" s="16">
        <v>731</v>
      </c>
      <c r="D305" s="16" t="s">
        <v>542</v>
      </c>
      <c r="E305" s="17">
        <v>1660.89</v>
      </c>
      <c r="F305" s="17">
        <v>1645.85</v>
      </c>
      <c r="G305" s="10" t="str">
        <f>VLOOKUP(Table11[[#This Row],[Store]],'Rates from Tracker'!A:B,2,0)</f>
        <v>Naval Air Station Norfolk</v>
      </c>
      <c r="H305" t="str">
        <f>VLOOKUP(D305,'Rates from Tracker'!A:C,3,0)</f>
        <v>IDAD-5 Inc</v>
      </c>
      <c r="I305" t="str">
        <f>VLOOKUP(Table11[[#This Row],[Franchisee]],'Rates from Tracker'!C:D,2,0)</f>
        <v>Ingenito</v>
      </c>
      <c r="J305" s="10">
        <f>ROUND(IF(Table11[[#This Row],[Location]]="Belmont Market",Table11[[#This Row],[Column2]]*0.01,IF(Table11[[#This Row],[Location]]="Country Club Centre",Table11[[#This Row],[Column2]]*0.01,IF(Table11[[#This Row],[Location]]="Naval Air Station Norfolk",Table11[[#This Row],[Column2]]*0.005,F305*0.02))),2)</f>
        <v>8.23</v>
      </c>
      <c r="K30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305" s="11">
        <f t="shared" si="10"/>
        <v>32.92</v>
      </c>
      <c r="M305" s="10">
        <f t="shared" si="11"/>
        <v>41.150000000000006</v>
      </c>
    </row>
    <row r="306" spans="1:13" x14ac:dyDescent="0.25">
      <c r="A306" s="143" t="str">
        <f>IF(Table11[[#This Row],[Date]]=0,"",IF(Table11[[#This Row],[Date]]&lt;(Summary!$B$3-6),1,""))</f>
        <v/>
      </c>
      <c r="B306" s="127">
        <v>46268</v>
      </c>
      <c r="C306" s="16">
        <v>761</v>
      </c>
      <c r="D306" s="16" t="s">
        <v>584</v>
      </c>
      <c r="E306" s="17">
        <v>1751.92</v>
      </c>
      <c r="F306" s="17">
        <v>1698.09</v>
      </c>
      <c r="G306" s="10" t="str">
        <f>VLOOKUP(Table11[[#This Row],[Store]],'Rates from Tracker'!A:B,2,0)</f>
        <v>Roseburg</v>
      </c>
      <c r="H306" t="str">
        <f>VLOOKUP(D306,'Rates from Tracker'!A:C,3,0)</f>
        <v>SSR Holdings LLC</v>
      </c>
      <c r="I306" t="str">
        <f>VLOOKUP(Table11[[#This Row],[Franchisee]],'Rates from Tracker'!C:D,2,0)</f>
        <v>Bikram</v>
      </c>
      <c r="J306" s="10">
        <f>ROUND(IF(Table11[[#This Row],[Location]]="Belmont Market",Table11[[#This Row],[Column2]]*0.01,IF(Table11[[#This Row],[Location]]="Country Club Centre",Table11[[#This Row],[Column2]]*0.01,IF(Table11[[#This Row],[Location]]="Naval Air Station Norfolk",Table11[[#This Row],[Column2]]*0.005,F306*0.02))),2)</f>
        <v>33.96</v>
      </c>
      <c r="K30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06" s="11">
        <f t="shared" si="10"/>
        <v>16.98</v>
      </c>
      <c r="M306" s="10">
        <f t="shared" si="11"/>
        <v>50.94</v>
      </c>
    </row>
    <row r="307" spans="1:13" x14ac:dyDescent="0.25">
      <c r="A307" s="143" t="str">
        <f>IF(Table11[[#This Row],[Date]]=0,"",IF(Table11[[#This Row],[Date]]&lt;(Summary!$B$3-6),1,""))</f>
        <v/>
      </c>
      <c r="B307" s="127">
        <v>46268</v>
      </c>
      <c r="C307" s="16">
        <v>777</v>
      </c>
      <c r="D307" s="16" t="s">
        <v>590</v>
      </c>
      <c r="E307" s="17">
        <v>1725.31</v>
      </c>
      <c r="F307" s="17">
        <v>1696.89</v>
      </c>
      <c r="G307" s="10" t="str">
        <f>VLOOKUP(Table11[[#This Row],[Store]],'Rates from Tracker'!A:B,2,0)</f>
        <v>Springfield-Oregon</v>
      </c>
      <c r="H307" t="str">
        <f>VLOOKUP(D307,'Rates from Tracker'!A:C,3,0)</f>
        <v>SSR Holdings LLC</v>
      </c>
      <c r="I307" t="str">
        <f>VLOOKUP(Table11[[#This Row],[Franchisee]],'Rates from Tracker'!C:D,2,0)</f>
        <v>Bikram</v>
      </c>
      <c r="J307" s="10">
        <f>ROUND(IF(Table11[[#This Row],[Location]]="Belmont Market",Table11[[#This Row],[Column2]]*0.01,IF(Table11[[#This Row],[Location]]="Country Club Centre",Table11[[#This Row],[Column2]]*0.01,IF(Table11[[#This Row],[Location]]="Naval Air Station Norfolk",Table11[[#This Row],[Column2]]*0.005,F307*0.02))),2)</f>
        <v>33.94</v>
      </c>
      <c r="K30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07" s="11">
        <f t="shared" si="10"/>
        <v>16.97</v>
      </c>
      <c r="M307" s="10">
        <f t="shared" si="11"/>
        <v>50.91</v>
      </c>
    </row>
    <row r="308" spans="1:13" x14ac:dyDescent="0.25">
      <c r="A308" s="143" t="str">
        <f>IF(Table11[[#This Row],[Date]]=0,"",IF(Table11[[#This Row],[Date]]&lt;(Summary!$B$3-6),1,""))</f>
        <v/>
      </c>
      <c r="B308" s="127">
        <v>46268</v>
      </c>
      <c r="C308" s="16">
        <v>820</v>
      </c>
      <c r="D308" s="16" t="s">
        <v>538</v>
      </c>
      <c r="E308" s="17">
        <v>3782.62</v>
      </c>
      <c r="F308" s="17">
        <v>3643.41</v>
      </c>
      <c r="G308" s="10" t="str">
        <f>VLOOKUP(Table11[[#This Row],[Store]],'Rates from Tracker'!A:B,2,0)</f>
        <v>Churn Creek</v>
      </c>
      <c r="H308" t="str">
        <f>VLOOKUP(D308,'Rates from Tracker'!A:C,3,0)</f>
        <v>Exceed Group Churn Creek</v>
      </c>
      <c r="I308" t="str">
        <f>VLOOKUP(Table11[[#This Row],[Franchisee]],'Rates from Tracker'!C:D,2,0)</f>
        <v>Chawla</v>
      </c>
      <c r="J308" s="10">
        <f>ROUND(IF(Table11[[#This Row],[Location]]="Belmont Market",Table11[[#This Row],[Column2]]*0.01,IF(Table11[[#This Row],[Location]]="Country Club Centre",Table11[[#This Row],[Column2]]*0.01,IF(Table11[[#This Row],[Location]]="Naval Air Station Norfolk",Table11[[#This Row],[Column2]]*0.005,F308*0.02))),2)</f>
        <v>72.87</v>
      </c>
      <c r="K30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08" s="11">
        <f t="shared" si="10"/>
        <v>182.17</v>
      </c>
      <c r="M308" s="10">
        <f t="shared" si="11"/>
        <v>255.04</v>
      </c>
    </row>
    <row r="309" spans="1:13" x14ac:dyDescent="0.25">
      <c r="A309" s="143" t="str">
        <f>IF(Table11[[#This Row],[Date]]=0,"",IF(Table11[[#This Row],[Date]]&lt;(Summary!$B$3-6),1,""))</f>
        <v/>
      </c>
      <c r="B309" s="127">
        <v>46267</v>
      </c>
      <c r="C309" s="16">
        <v>21</v>
      </c>
      <c r="D309" s="16" t="s">
        <v>29</v>
      </c>
      <c r="E309" s="17">
        <v>3634.21</v>
      </c>
      <c r="F309" s="17">
        <v>3494.6</v>
      </c>
      <c r="G309" s="10" t="str">
        <f>VLOOKUP(Table11[[#This Row],[Store]],'Rates from Tracker'!A:B,2,0)</f>
        <v>Park Meadows</v>
      </c>
      <c r="H309" t="str">
        <f>VLOOKUP(D309,'Rates from Tracker'!A:C,3,0)</f>
        <v>Best Pizza LLC</v>
      </c>
      <c r="I309" t="str">
        <f>VLOOKUP(Table11[[#This Row],[Franchisee]],'Rates from Tracker'!C:D,2,0)</f>
        <v>Merullo</v>
      </c>
      <c r="J309" s="10">
        <f>ROUND(IF(Table11[[#This Row],[Location]]="Belmont Market",Table11[[#This Row],[Column2]]*0.01,IF(Table11[[#This Row],[Location]]="Country Club Centre",Table11[[#This Row],[Column2]]*0.01,IF(Table11[[#This Row],[Location]]="Naval Air Station Norfolk",Table11[[#This Row],[Column2]]*0.005,F309*0.02))),2)</f>
        <v>69.89</v>
      </c>
      <c r="K30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09" s="11">
        <f t="shared" si="10"/>
        <v>174.73</v>
      </c>
      <c r="M309" s="10">
        <f t="shared" si="11"/>
        <v>244.62</v>
      </c>
    </row>
    <row r="310" spans="1:13" x14ac:dyDescent="0.25">
      <c r="A310" s="143" t="str">
        <f>IF(Table11[[#This Row],[Date]]=0,"",IF(Table11[[#This Row],[Date]]&lt;(Summary!$B$3-6),1,""))</f>
        <v/>
      </c>
      <c r="B310" s="127">
        <v>46267</v>
      </c>
      <c r="C310" s="16">
        <v>47</v>
      </c>
      <c r="D310" s="16" t="s">
        <v>532</v>
      </c>
      <c r="E310" s="17">
        <v>3134.52</v>
      </c>
      <c r="F310" s="17">
        <v>3073.92</v>
      </c>
      <c r="G310" s="10" t="str">
        <f>VLOOKUP(Table11[[#This Row],[Store]],'Rates from Tracker'!A:B,2,0)</f>
        <v>REDDING</v>
      </c>
      <c r="H310" t="str">
        <f>VLOOKUP(D310,'Rates from Tracker'!A:C,3,0)</f>
        <v>Exceed Group REDDING</v>
      </c>
      <c r="I310" t="str">
        <f>VLOOKUP(Table11[[#This Row],[Franchisee]],'Rates from Tracker'!C:D,2,0)</f>
        <v>Chawla</v>
      </c>
      <c r="J310" s="10">
        <f>ROUND(IF(Table11[[#This Row],[Location]]="Belmont Market",Table11[[#This Row],[Column2]]*0.01,IF(Table11[[#This Row],[Location]]="Country Club Centre",Table11[[#This Row],[Column2]]*0.01,IF(Table11[[#This Row],[Location]]="Naval Air Station Norfolk",Table11[[#This Row],[Column2]]*0.005,F310*0.02))),2)</f>
        <v>61.48</v>
      </c>
      <c r="K31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10" s="11">
        <f t="shared" si="10"/>
        <v>153.69999999999999</v>
      </c>
      <c r="M310" s="10">
        <f t="shared" si="11"/>
        <v>215.17999999999998</v>
      </c>
    </row>
    <row r="311" spans="1:13" x14ac:dyDescent="0.25">
      <c r="A311" s="143" t="str">
        <f>IF(Table11[[#This Row],[Date]]=0,"",IF(Table11[[#This Row],[Date]]&lt;(Summary!$B$3-6),1,""))</f>
        <v/>
      </c>
      <c r="B311" s="127">
        <v>46267</v>
      </c>
      <c r="C311" s="16">
        <v>55</v>
      </c>
      <c r="D311" s="16" t="s">
        <v>533</v>
      </c>
      <c r="E311" s="17">
        <v>2215.8000000000002</v>
      </c>
      <c r="F311" s="17">
        <v>2139.62</v>
      </c>
      <c r="G311" s="10" t="str">
        <f>VLOOKUP(Table11[[#This Row],[Store]],'Rates from Tracker'!A:B,2,0)</f>
        <v>ROCKLIN</v>
      </c>
      <c r="H311" t="str">
        <f>VLOOKUP(D311,'Rates from Tracker'!A:C,3,0)</f>
        <v>Exceed Group ROCKLIN</v>
      </c>
      <c r="I311" t="str">
        <f>VLOOKUP(Table11[[#This Row],[Franchisee]],'Rates from Tracker'!C:D,2,0)</f>
        <v>Chawla</v>
      </c>
      <c r="J311" s="10">
        <f>ROUND(IF(Table11[[#This Row],[Location]]="Belmont Market",Table11[[#This Row],[Column2]]*0.01,IF(Table11[[#This Row],[Location]]="Country Club Centre",Table11[[#This Row],[Column2]]*0.01,IF(Table11[[#This Row],[Location]]="Naval Air Station Norfolk",Table11[[#This Row],[Column2]]*0.005,F311*0.02))),2)</f>
        <v>42.79</v>
      </c>
      <c r="K31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11" s="11">
        <f t="shared" si="10"/>
        <v>106.98</v>
      </c>
      <c r="M311" s="10">
        <f t="shared" si="11"/>
        <v>149.77000000000001</v>
      </c>
    </row>
    <row r="312" spans="1:13" x14ac:dyDescent="0.25">
      <c r="A312" s="143" t="str">
        <f>IF(Table11[[#This Row],[Date]]=0,"",IF(Table11[[#This Row],[Date]]&lt;(Summary!$B$3-6),1,""))</f>
        <v/>
      </c>
      <c r="B312" s="127">
        <v>46267</v>
      </c>
      <c r="C312" s="16">
        <v>56</v>
      </c>
      <c r="D312" s="16" t="s">
        <v>534</v>
      </c>
      <c r="E312" s="17">
        <v>3579.91</v>
      </c>
      <c r="F312" s="17">
        <v>3553.06</v>
      </c>
      <c r="G312" s="10" t="str">
        <f>VLOOKUP(Table11[[#This Row],[Store]],'Rates from Tracker'!A:B,2,0)</f>
        <v>LIVONIA</v>
      </c>
      <c r="H312" t="str">
        <f>VLOOKUP(D312,'Rates from Tracker'!A:C,3,0)</f>
        <v>TSFR Pizza LLC</v>
      </c>
      <c r="I312" t="str">
        <f>VLOOKUP(Table11[[#This Row],[Franchisee]],'Rates from Tracker'!C:D,2,0)</f>
        <v>Schostak</v>
      </c>
      <c r="J312" s="10">
        <f>ROUND(IF(Table11[[#This Row],[Location]]="Belmont Market",Table11[[#This Row],[Column2]]*0.01,IF(Table11[[#This Row],[Location]]="Country Club Centre",Table11[[#This Row],[Column2]]*0.01,IF(Table11[[#This Row],[Location]]="Naval Air Station Norfolk",Table11[[#This Row],[Column2]]*0.005,F312*0.02))),2)</f>
        <v>71.06</v>
      </c>
      <c r="K31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12" s="11">
        <f t="shared" si="10"/>
        <v>177.65</v>
      </c>
      <c r="M312" s="10">
        <f t="shared" si="11"/>
        <v>248.71</v>
      </c>
    </row>
    <row r="313" spans="1:13" x14ac:dyDescent="0.25">
      <c r="A313" s="143" t="str">
        <f>IF(Table11[[#This Row],[Date]]=0,"",IF(Table11[[#This Row],[Date]]&lt;(Summary!$B$3-6),1,""))</f>
        <v/>
      </c>
      <c r="B313" s="127">
        <v>46267</v>
      </c>
      <c r="C313" s="16">
        <v>77</v>
      </c>
      <c r="D313" s="16" t="s">
        <v>11</v>
      </c>
      <c r="E313" s="17">
        <v>1964.11</v>
      </c>
      <c r="F313" s="17">
        <v>1915.76</v>
      </c>
      <c r="G313" s="10" t="str">
        <f>VLOOKUP(Table11[[#This Row],[Store]],'Rates from Tracker'!A:B,2,0)</f>
        <v>Falcon Landing</v>
      </c>
      <c r="H313" t="str">
        <f>VLOOKUP(D313,'Rates from Tracker'!A:C,3,0)</f>
        <v>Best Pizza LLC</v>
      </c>
      <c r="I313" t="str">
        <f>VLOOKUP(Table11[[#This Row],[Franchisee]],'Rates from Tracker'!C:D,2,0)</f>
        <v>Merullo</v>
      </c>
      <c r="J313" s="10">
        <f>ROUND(IF(Table11[[#This Row],[Location]]="Belmont Market",Table11[[#This Row],[Column2]]*0.01,IF(Table11[[#This Row],[Location]]="Country Club Centre",Table11[[#This Row],[Column2]]*0.01,IF(Table11[[#This Row],[Location]]="Naval Air Station Norfolk",Table11[[#This Row],[Column2]]*0.005,F313*0.02))),2)</f>
        <v>38.32</v>
      </c>
      <c r="K31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13" s="11">
        <f t="shared" si="10"/>
        <v>95.79</v>
      </c>
      <c r="M313" s="10">
        <f t="shared" si="11"/>
        <v>134.11000000000001</v>
      </c>
    </row>
    <row r="314" spans="1:13" x14ac:dyDescent="0.25">
      <c r="A314" s="143" t="str">
        <f>IF(Table11[[#This Row],[Date]]=0,"",IF(Table11[[#This Row],[Date]]&lt;(Summary!$B$3-6),1,""))</f>
        <v/>
      </c>
      <c r="B314" s="127">
        <v>46267</v>
      </c>
      <c r="C314" s="16">
        <v>93</v>
      </c>
      <c r="D314" s="16" t="s">
        <v>5</v>
      </c>
      <c r="E314" s="17">
        <v>2783.98</v>
      </c>
      <c r="F314" s="17">
        <v>2720.62</v>
      </c>
      <c r="G314" s="10" t="str">
        <f>VLOOKUP(Table11[[#This Row],[Store]],'Rates from Tracker'!A:B,2,0)</f>
        <v>Brighton</v>
      </c>
      <c r="H314" t="str">
        <f>VLOOKUP(D314,'Rates from Tracker'!A:C,3,0)</f>
        <v>TSFR Pizza LLC</v>
      </c>
      <c r="I314" t="str">
        <f>VLOOKUP(Table11[[#This Row],[Franchisee]],'Rates from Tracker'!C:D,2,0)</f>
        <v>Schostak</v>
      </c>
      <c r="J314" s="10">
        <f>ROUND(IF(Table11[[#This Row],[Location]]="Belmont Market",Table11[[#This Row],[Column2]]*0.01,IF(Table11[[#This Row],[Location]]="Country Club Centre",Table11[[#This Row],[Column2]]*0.01,IF(Table11[[#This Row],[Location]]="Naval Air Station Norfolk",Table11[[#This Row],[Column2]]*0.005,F314*0.02))),2)</f>
        <v>54.41</v>
      </c>
      <c r="K31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14" s="11">
        <f t="shared" si="10"/>
        <v>136.03</v>
      </c>
      <c r="M314" s="10">
        <f t="shared" si="11"/>
        <v>190.44</v>
      </c>
    </row>
    <row r="315" spans="1:13" x14ac:dyDescent="0.25">
      <c r="A315" s="143" t="str">
        <f>IF(Table11[[#This Row],[Date]]=0,"",IF(Table11[[#This Row],[Date]]&lt;(Summary!$B$3-6),1,""))</f>
        <v/>
      </c>
      <c r="B315" s="127">
        <v>46267</v>
      </c>
      <c r="C315" s="16">
        <v>94</v>
      </c>
      <c r="D315" s="16" t="s">
        <v>7</v>
      </c>
      <c r="E315" s="17">
        <v>3678.5</v>
      </c>
      <c r="F315" s="17">
        <v>3516.12</v>
      </c>
      <c r="G315" s="10" t="str">
        <f>VLOOKUP(Table11[[#This Row],[Store]],'Rates from Tracker'!A:B,2,0)</f>
        <v>Castle Rock</v>
      </c>
      <c r="H315" t="str">
        <f>VLOOKUP(D315,'Rates from Tracker'!A:C,3,0)</f>
        <v>Best Pizza LLC</v>
      </c>
      <c r="I315" t="str">
        <f>VLOOKUP(Table11[[#This Row],[Franchisee]],'Rates from Tracker'!C:D,2,0)</f>
        <v>Merullo</v>
      </c>
      <c r="J315" s="10">
        <f>ROUND(IF(Table11[[#This Row],[Location]]="Belmont Market",Table11[[#This Row],[Column2]]*0.01,IF(Table11[[#This Row],[Location]]="Country Club Centre",Table11[[#This Row],[Column2]]*0.01,IF(Table11[[#This Row],[Location]]="Naval Air Station Norfolk",Table11[[#This Row],[Column2]]*0.005,F315*0.02))),2)</f>
        <v>70.319999999999993</v>
      </c>
      <c r="K31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15" s="11">
        <f t="shared" si="10"/>
        <v>175.81</v>
      </c>
      <c r="M315" s="10">
        <f t="shared" si="11"/>
        <v>246.13</v>
      </c>
    </row>
    <row r="316" spans="1:13" x14ac:dyDescent="0.25">
      <c r="A316" s="143" t="str">
        <f>IF(Table11[[#This Row],[Date]]=0,"",IF(Table11[[#This Row],[Date]]&lt;(Summary!$B$3-6),1,""))</f>
        <v/>
      </c>
      <c r="B316" s="127">
        <v>46267</v>
      </c>
      <c r="C316" s="16">
        <v>100</v>
      </c>
      <c r="D316" s="16" t="s">
        <v>17</v>
      </c>
      <c r="E316" s="17">
        <v>3441.17</v>
      </c>
      <c r="F316" s="17">
        <v>3395.01</v>
      </c>
      <c r="G316" s="10" t="str">
        <f>VLOOKUP(Table11[[#This Row],[Store]],'Rates from Tracker'!A:B,2,0)</f>
        <v>Howe Bout Arden</v>
      </c>
      <c r="H316" t="str">
        <f>VLOOKUP(D316,'Rates from Tracker'!A:C,3,0)</f>
        <v>Exceed Group Howe Bout Arden</v>
      </c>
      <c r="I316" t="str">
        <f>VLOOKUP(Table11[[#This Row],[Franchisee]],'Rates from Tracker'!C:D,2,0)</f>
        <v>Chawla</v>
      </c>
      <c r="J316" s="10">
        <f>ROUND(IF(Table11[[#This Row],[Location]]="Belmont Market",Table11[[#This Row],[Column2]]*0.01,IF(Table11[[#This Row],[Location]]="Country Club Centre",Table11[[#This Row],[Column2]]*0.01,IF(Table11[[#This Row],[Location]]="Naval Air Station Norfolk",Table11[[#This Row],[Column2]]*0.005,F316*0.02))),2)</f>
        <v>67.900000000000006</v>
      </c>
      <c r="K31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16" s="11">
        <f t="shared" si="10"/>
        <v>169.75</v>
      </c>
      <c r="M316" s="10">
        <f t="shared" si="11"/>
        <v>237.65</v>
      </c>
    </row>
    <row r="317" spans="1:13" x14ac:dyDescent="0.25">
      <c r="A317" s="143" t="str">
        <f>IF(Table11[[#This Row],[Date]]=0,"",IF(Table11[[#This Row],[Date]]&lt;(Summary!$B$3-6),1,""))</f>
        <v/>
      </c>
      <c r="B317" s="127">
        <v>46267</v>
      </c>
      <c r="C317" s="16">
        <v>126</v>
      </c>
      <c r="D317" s="16" t="s">
        <v>571</v>
      </c>
      <c r="E317" s="17">
        <v>3424.23</v>
      </c>
      <c r="F317" s="17">
        <v>3322.88</v>
      </c>
      <c r="G317" s="10" t="str">
        <f>VLOOKUP(Table11[[#This Row],[Store]],'Rates from Tracker'!A:B,2,0)</f>
        <v>Bend</v>
      </c>
      <c r="H317" t="str">
        <f>VLOOKUP(D317,'Rates from Tracker'!A:C,3,0)</f>
        <v>SSR Holdings LLC</v>
      </c>
      <c r="I317" t="str">
        <f>VLOOKUP(Table11[[#This Row],[Franchisee]],'Rates from Tracker'!C:D,2,0)</f>
        <v>Bikram</v>
      </c>
      <c r="J317" s="10">
        <f>ROUND(IF(Table11[[#This Row],[Location]]="Belmont Market",Table11[[#This Row],[Column2]]*0.01,IF(Table11[[#This Row],[Location]]="Country Club Centre",Table11[[#This Row],[Column2]]*0.01,IF(Table11[[#This Row],[Location]]="Naval Air Station Norfolk",Table11[[#This Row],[Column2]]*0.005,F317*0.02))),2)</f>
        <v>66.459999999999994</v>
      </c>
      <c r="K31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17" s="11">
        <f t="shared" si="10"/>
        <v>33.229999999999997</v>
      </c>
      <c r="M317" s="10">
        <f t="shared" si="11"/>
        <v>99.69</v>
      </c>
    </row>
    <row r="318" spans="1:13" x14ac:dyDescent="0.25">
      <c r="A318" s="143" t="str">
        <f>IF(Table11[[#This Row],[Date]]=0,"",IF(Table11[[#This Row],[Date]]&lt;(Summary!$B$3-6),1,""))</f>
        <v/>
      </c>
      <c r="B318" s="127">
        <v>46267</v>
      </c>
      <c r="C318" s="16">
        <v>133</v>
      </c>
      <c r="D318" s="16" t="s">
        <v>38</v>
      </c>
      <c r="E318" s="17">
        <v>2669.97</v>
      </c>
      <c r="F318" s="17">
        <v>2621.3200000000002</v>
      </c>
      <c r="G318" s="10" t="str">
        <f>VLOOKUP(Table11[[#This Row],[Store]],'Rates from Tracker'!A:B,2,0)</f>
        <v>Woodhill</v>
      </c>
      <c r="H318" t="str">
        <f>VLOOKUP(D318,'Rates from Tracker'!A:C,3,0)</f>
        <v>Rolling Dough LLC</v>
      </c>
      <c r="I318" t="str">
        <f>VLOOKUP(Table11[[#This Row],[Franchisee]],'Rates from Tracker'!C:D,2,0)</f>
        <v>Connolly</v>
      </c>
      <c r="J318" s="10">
        <f>ROUND(IF(Table11[[#This Row],[Location]]="Belmont Market",Table11[[#This Row],[Column2]]*0.01,IF(Table11[[#This Row],[Location]]="Country Club Centre",Table11[[#This Row],[Column2]]*0.01,IF(Table11[[#This Row],[Location]]="Naval Air Station Norfolk",Table11[[#This Row],[Column2]]*0.005,F318*0.02))),2)</f>
        <v>52.43</v>
      </c>
      <c r="K31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18" s="11">
        <f t="shared" si="10"/>
        <v>131.07</v>
      </c>
      <c r="M318" s="10">
        <f t="shared" si="11"/>
        <v>183.5</v>
      </c>
    </row>
    <row r="319" spans="1:13" x14ac:dyDescent="0.25">
      <c r="A319" s="143" t="str">
        <f>IF(Table11[[#This Row],[Date]]=0,"",IF(Table11[[#This Row],[Date]]&lt;(Summary!$B$3-6),1,""))</f>
        <v/>
      </c>
      <c r="B319" s="127">
        <v>46267</v>
      </c>
      <c r="C319" s="16">
        <v>149</v>
      </c>
      <c r="D319" s="16" t="s">
        <v>36</v>
      </c>
      <c r="E319" s="17">
        <v>1942.49</v>
      </c>
      <c r="F319" s="17">
        <v>1897.83</v>
      </c>
      <c r="G319" s="10" t="str">
        <f>VLOOKUP(Table11[[#This Row],[Store]],'Rates from Tracker'!A:B,2,0)</f>
        <v>Westwood Plaza</v>
      </c>
      <c r="H319" t="str">
        <f>VLOOKUP(D319,'Rates from Tracker'!A:C,3,0)</f>
        <v>Rolling Dough LLC</v>
      </c>
      <c r="I319" t="str">
        <f>VLOOKUP(Table11[[#This Row],[Franchisee]],'Rates from Tracker'!C:D,2,0)</f>
        <v>Connolly</v>
      </c>
      <c r="J319" s="10">
        <f>ROUND(IF(Table11[[#This Row],[Location]]="Belmont Market",Table11[[#This Row],[Column2]]*0.01,IF(Table11[[#This Row],[Location]]="Country Club Centre",Table11[[#This Row],[Column2]]*0.01,IF(Table11[[#This Row],[Location]]="Naval Air Station Norfolk",Table11[[#This Row],[Column2]]*0.005,F319*0.02))),2)</f>
        <v>37.96</v>
      </c>
      <c r="K31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19" s="11">
        <f t="shared" si="10"/>
        <v>94.89</v>
      </c>
      <c r="M319" s="10">
        <f t="shared" si="11"/>
        <v>132.85</v>
      </c>
    </row>
    <row r="320" spans="1:13" x14ac:dyDescent="0.25">
      <c r="A320" s="143" t="str">
        <f>IF(Table11[[#This Row],[Date]]=0,"",IF(Table11[[#This Row],[Date]]&lt;(Summary!$B$3-6),1,""))</f>
        <v/>
      </c>
      <c r="B320" s="127">
        <v>46267</v>
      </c>
      <c r="C320" s="16">
        <v>157</v>
      </c>
      <c r="D320" s="16" t="s">
        <v>15</v>
      </c>
      <c r="E320" s="17">
        <v>1923.24</v>
      </c>
      <c r="F320" s="17">
        <v>1893.39</v>
      </c>
      <c r="G320" s="10" t="str">
        <f>VLOOKUP(Table11[[#This Row],[Store]],'Rates from Tracker'!A:B,2,0)</f>
        <v>Hamburg #6</v>
      </c>
      <c r="H320" t="str">
        <f>VLOOKUP(D320,'Rates from Tracker'!A:C,3,0)</f>
        <v>Cool Dough Development, LLC</v>
      </c>
      <c r="I320" t="str">
        <f>VLOOKUP(Table11[[#This Row],[Franchisee]],'Rates from Tracker'!C:D,2,0)</f>
        <v>Denning</v>
      </c>
      <c r="J320" s="10">
        <f>ROUND(IF(Table11[[#This Row],[Location]]="Belmont Market",Table11[[#This Row],[Column2]]*0.01,IF(Table11[[#This Row],[Location]]="Country Club Centre",Table11[[#This Row],[Column2]]*0.01,IF(Table11[[#This Row],[Location]]="Naval Air Station Norfolk",Table11[[#This Row],[Column2]]*0.005,F320*0.02))),2)</f>
        <v>37.869999999999997</v>
      </c>
      <c r="K32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20" s="11">
        <f t="shared" si="10"/>
        <v>94.67</v>
      </c>
      <c r="M320" s="10">
        <f t="shared" si="11"/>
        <v>132.54</v>
      </c>
    </row>
    <row r="321" spans="1:13" x14ac:dyDescent="0.25">
      <c r="A321" s="143" t="str">
        <f>IF(Table11[[#This Row],[Date]]=0,"",IF(Table11[[#This Row],[Date]]&lt;(Summary!$B$3-6),1,""))</f>
        <v/>
      </c>
      <c r="B321" s="127">
        <v>46267</v>
      </c>
      <c r="C321" s="16">
        <v>158</v>
      </c>
      <c r="D321" s="16" t="s">
        <v>20</v>
      </c>
      <c r="E321" s="17">
        <v>3477.06</v>
      </c>
      <c r="F321" s="17">
        <v>3401.73</v>
      </c>
      <c r="G321" s="10" t="str">
        <f>VLOOKUP(Table11[[#This Row],[Store]],'Rates from Tracker'!A:B,2,0)</f>
        <v>McCaslin Marketplace</v>
      </c>
      <c r="H321" t="str">
        <f>VLOOKUP(D321,'Rates from Tracker'!A:C,3,0)</f>
        <v>Best Pizza LLC</v>
      </c>
      <c r="I321" t="str">
        <f>VLOOKUP(Table11[[#This Row],[Franchisee]],'Rates from Tracker'!C:D,2,0)</f>
        <v>Merullo</v>
      </c>
      <c r="J321" s="10">
        <f>ROUND(IF(Table11[[#This Row],[Location]]="Belmont Market",Table11[[#This Row],[Column2]]*0.01,IF(Table11[[#This Row],[Location]]="Country Club Centre",Table11[[#This Row],[Column2]]*0.01,IF(Table11[[#This Row],[Location]]="Naval Air Station Norfolk",Table11[[#This Row],[Column2]]*0.005,F321*0.02))),2)</f>
        <v>68.03</v>
      </c>
      <c r="K32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21" s="11">
        <f t="shared" si="10"/>
        <v>170.09</v>
      </c>
      <c r="M321" s="10">
        <f t="shared" si="11"/>
        <v>238.12</v>
      </c>
    </row>
    <row r="322" spans="1:13" x14ac:dyDescent="0.25">
      <c r="A322" s="143" t="str">
        <f>IF(Table11[[#This Row],[Date]]=0,"",IF(Table11[[#This Row],[Date]]&lt;(Summary!$B$3-6),1,""))</f>
        <v/>
      </c>
      <c r="B322" s="127">
        <v>46267</v>
      </c>
      <c r="C322" s="16">
        <v>159</v>
      </c>
      <c r="D322" s="16" t="s">
        <v>24</v>
      </c>
      <c r="E322" s="17">
        <v>1621.67</v>
      </c>
      <c r="F322" s="17">
        <v>1589.06</v>
      </c>
      <c r="G322" s="10" t="str">
        <f>VLOOKUP(Table11[[#This Row],[Store]],'Rates from Tracker'!A:B,2,0)</f>
        <v>North Charleston</v>
      </c>
      <c r="H322" t="str">
        <f>VLOOKUP(D322,'Rates from Tracker'!A:C,3,0)</f>
        <v>Rolling Dough LLC</v>
      </c>
      <c r="I322" t="str">
        <f>VLOOKUP(Table11[[#This Row],[Franchisee]],'Rates from Tracker'!C:D,2,0)</f>
        <v>Connolly</v>
      </c>
      <c r="J322" s="10">
        <f>ROUND(IF(Table11[[#This Row],[Location]]="Belmont Market",Table11[[#This Row],[Column2]]*0.01,IF(Table11[[#This Row],[Location]]="Country Club Centre",Table11[[#This Row],[Column2]]*0.01,IF(Table11[[#This Row],[Location]]="Naval Air Station Norfolk",Table11[[#This Row],[Column2]]*0.005,F322*0.02))),2)</f>
        <v>31.78</v>
      </c>
      <c r="K32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22" s="11">
        <f t="shared" si="10"/>
        <v>79.45</v>
      </c>
      <c r="M322" s="10">
        <f t="shared" si="11"/>
        <v>111.23</v>
      </c>
    </row>
    <row r="323" spans="1:13" x14ac:dyDescent="0.25">
      <c r="A323" s="143" t="str">
        <f>IF(Table11[[#This Row],[Date]]=0,"",IF(Table11[[#This Row],[Date]]&lt;(Summary!$B$3-6),1,""))</f>
        <v/>
      </c>
      <c r="B323" s="127">
        <v>46267</v>
      </c>
      <c r="C323" s="16">
        <v>161</v>
      </c>
      <c r="D323" s="16" t="s">
        <v>10</v>
      </c>
      <c r="E323" s="17">
        <v>3770.13</v>
      </c>
      <c r="F323" s="17">
        <v>3698.73</v>
      </c>
      <c r="G323" s="10" t="str">
        <f>VLOOKUP(Table11[[#This Row],[Store]],'Rates from Tracker'!A:B,2,0)</f>
        <v>Chico</v>
      </c>
      <c r="H323" t="str">
        <f>VLOOKUP(D323,'Rates from Tracker'!A:C,3,0)</f>
        <v>Exceed Group Chico</v>
      </c>
      <c r="I323" t="str">
        <f>VLOOKUP(Table11[[#This Row],[Franchisee]],'Rates from Tracker'!C:D,2,0)</f>
        <v>Chawla</v>
      </c>
      <c r="J323" s="10">
        <f>ROUND(IF(Table11[[#This Row],[Location]]="Belmont Market",Table11[[#This Row],[Column2]]*0.01,IF(Table11[[#This Row],[Location]]="Country Club Centre",Table11[[#This Row],[Column2]]*0.01,IF(Table11[[#This Row],[Location]]="Naval Air Station Norfolk",Table11[[#This Row],[Column2]]*0.005,F323*0.02))),2)</f>
        <v>73.97</v>
      </c>
      <c r="K32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23" s="11">
        <f t="shared" si="10"/>
        <v>184.94</v>
      </c>
      <c r="M323" s="10">
        <f t="shared" si="11"/>
        <v>258.90999999999997</v>
      </c>
    </row>
    <row r="324" spans="1:13" x14ac:dyDescent="0.25">
      <c r="A324" s="143" t="str">
        <f>IF(Table11[[#This Row],[Date]]=0,"",IF(Table11[[#This Row],[Date]]&lt;(Summary!$B$3-6),1,""))</f>
        <v/>
      </c>
      <c r="B324" s="127">
        <v>46267</v>
      </c>
      <c r="C324" s="16">
        <v>163</v>
      </c>
      <c r="D324" s="16" t="s">
        <v>13</v>
      </c>
      <c r="E324" s="17">
        <v>3866.26</v>
      </c>
      <c r="F324" s="17">
        <v>3765.52</v>
      </c>
      <c r="G324" s="10" t="str">
        <f>VLOOKUP(Table11[[#This Row],[Store]],'Rates from Tracker'!A:B,2,0)</f>
        <v>Forest Trace</v>
      </c>
      <c r="H324" t="str">
        <f>VLOOKUP(D324,'Rates from Tracker'!A:C,3,0)</f>
        <v>Best Pizza LLC</v>
      </c>
      <c r="I324" t="str">
        <f>VLOOKUP(Table11[[#This Row],[Franchisee]],'Rates from Tracker'!C:D,2,0)</f>
        <v>Merullo</v>
      </c>
      <c r="J324" s="10">
        <f>ROUND(IF(Table11[[#This Row],[Location]]="Belmont Market",Table11[[#This Row],[Column2]]*0.01,IF(Table11[[#This Row],[Location]]="Country Club Centre",Table11[[#This Row],[Column2]]*0.01,IF(Table11[[#This Row],[Location]]="Naval Air Station Norfolk",Table11[[#This Row],[Column2]]*0.005,F324*0.02))),2)</f>
        <v>75.31</v>
      </c>
      <c r="K32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24" s="11">
        <f t="shared" si="10"/>
        <v>188.28</v>
      </c>
      <c r="M324" s="10">
        <f t="shared" si="11"/>
        <v>263.59000000000003</v>
      </c>
    </row>
    <row r="325" spans="1:13" x14ac:dyDescent="0.25">
      <c r="A325" s="143" t="str">
        <f>IF(Table11[[#This Row],[Date]]=0,"",IF(Table11[[#This Row],[Date]]&lt;(Summary!$B$3-6),1,""))</f>
        <v/>
      </c>
      <c r="B325" s="127">
        <v>46267</v>
      </c>
      <c r="C325" s="16">
        <v>166</v>
      </c>
      <c r="D325" s="16" t="s">
        <v>8</v>
      </c>
      <c r="E325" s="17">
        <v>4918.62</v>
      </c>
      <c r="F325" s="17">
        <v>4898.5</v>
      </c>
      <c r="G325" s="10" t="str">
        <f>VLOOKUP(Table11[[#This Row],[Store]],'Rates from Tracker'!A:B,2,0)</f>
        <v>Centre Avenue</v>
      </c>
      <c r="H325" t="str">
        <f>VLOOKUP(D325,'Rates from Tracker'!A:C,3,0)</f>
        <v>Best Pizza LLC</v>
      </c>
      <c r="I325" t="str">
        <f>VLOOKUP(Table11[[#This Row],[Franchisee]],'Rates from Tracker'!C:D,2,0)</f>
        <v>Merullo</v>
      </c>
      <c r="J325" s="10">
        <f>ROUND(IF(Table11[[#This Row],[Location]]="Belmont Market",Table11[[#This Row],[Column2]]*0.01,IF(Table11[[#This Row],[Location]]="Country Club Centre",Table11[[#This Row],[Column2]]*0.01,IF(Table11[[#This Row],[Location]]="Naval Air Station Norfolk",Table11[[#This Row],[Column2]]*0.005,F325*0.02))),2)</f>
        <v>97.97</v>
      </c>
      <c r="K32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25" s="11">
        <f t="shared" ref="L325:L388" si="12">ROUND(F325*K325,2)</f>
        <v>244.93</v>
      </c>
      <c r="M325" s="10">
        <f t="shared" ref="M325:M388" si="13">J325+L325</f>
        <v>342.9</v>
      </c>
    </row>
    <row r="326" spans="1:13" x14ac:dyDescent="0.25">
      <c r="A326" s="143" t="str">
        <f>IF(Table11[[#This Row],[Date]]=0,"",IF(Table11[[#This Row],[Date]]&lt;(Summary!$B$3-6),1,""))</f>
        <v/>
      </c>
      <c r="B326" s="127">
        <v>46267</v>
      </c>
      <c r="C326" s="16">
        <v>172</v>
      </c>
      <c r="D326" s="16" t="s">
        <v>579</v>
      </c>
      <c r="E326" s="17">
        <v>2874.57</v>
      </c>
      <c r="F326" s="17">
        <v>2842.9</v>
      </c>
      <c r="G326" s="10" t="str">
        <f>VLOOKUP(Table11[[#This Row],[Store]],'Rates from Tracker'!A:B,2,0)</f>
        <v>Oakway</v>
      </c>
      <c r="H326" t="str">
        <f>VLOOKUP(D326,'Rates from Tracker'!A:C,3,0)</f>
        <v>SSR Holdings LLC</v>
      </c>
      <c r="I326" t="str">
        <f>VLOOKUP(Table11[[#This Row],[Franchisee]],'Rates from Tracker'!C:D,2,0)</f>
        <v>Bikram</v>
      </c>
      <c r="J326" s="10">
        <f>ROUND(IF(Table11[[#This Row],[Location]]="Belmont Market",Table11[[#This Row],[Column2]]*0.01,IF(Table11[[#This Row],[Location]]="Country Club Centre",Table11[[#This Row],[Column2]]*0.01,IF(Table11[[#This Row],[Location]]="Naval Air Station Norfolk",Table11[[#This Row],[Column2]]*0.005,F326*0.02))),2)</f>
        <v>56.86</v>
      </c>
      <c r="K32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26" s="11">
        <f t="shared" si="12"/>
        <v>28.43</v>
      </c>
      <c r="M326" s="10">
        <f t="shared" si="13"/>
        <v>85.289999999999992</v>
      </c>
    </row>
    <row r="327" spans="1:13" x14ac:dyDescent="0.25">
      <c r="A327" s="143" t="str">
        <f>IF(Table11[[#This Row],[Date]]=0,"",IF(Table11[[#This Row],[Date]]&lt;(Summary!$B$3-6),1,""))</f>
        <v/>
      </c>
      <c r="B327" s="127">
        <v>46267</v>
      </c>
      <c r="C327" s="16">
        <v>204</v>
      </c>
      <c r="D327" s="16" t="s">
        <v>578</v>
      </c>
      <c r="E327" s="17">
        <v>2692.13</v>
      </c>
      <c r="F327" s="17">
        <v>2649.24</v>
      </c>
      <c r="G327" s="10" t="str">
        <f>VLOOKUP(Table11[[#This Row],[Store]],'Rates from Tracker'!A:B,2,0)</f>
        <v>North Medford</v>
      </c>
      <c r="H327" t="str">
        <f>VLOOKUP(D327,'Rates from Tracker'!A:C,3,0)</f>
        <v>SSR Holdings LLC</v>
      </c>
      <c r="I327" t="str">
        <f>VLOOKUP(Table11[[#This Row],[Franchisee]],'Rates from Tracker'!C:D,2,0)</f>
        <v>Bikram</v>
      </c>
      <c r="J327" s="10">
        <f>ROUND(IF(Table11[[#This Row],[Location]]="Belmont Market",Table11[[#This Row],[Column2]]*0.01,IF(Table11[[#This Row],[Location]]="Country Club Centre",Table11[[#This Row],[Column2]]*0.01,IF(Table11[[#This Row],[Location]]="Naval Air Station Norfolk",Table11[[#This Row],[Column2]]*0.005,F327*0.02))),2)</f>
        <v>52.98</v>
      </c>
      <c r="K32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27" s="11">
        <f t="shared" si="12"/>
        <v>26.49</v>
      </c>
      <c r="M327" s="10">
        <f t="shared" si="13"/>
        <v>79.47</v>
      </c>
    </row>
    <row r="328" spans="1:13" x14ac:dyDescent="0.25">
      <c r="A328" s="143" t="str">
        <f>IF(Table11[[#This Row],[Date]]=0,"",IF(Table11[[#This Row],[Date]]&lt;(Summary!$B$3-6),1,""))</f>
        <v/>
      </c>
      <c r="B328" s="127">
        <v>46267</v>
      </c>
      <c r="C328" s="16">
        <v>210</v>
      </c>
      <c r="D328" s="16" t="s">
        <v>586</v>
      </c>
      <c r="E328" s="17">
        <v>2355.27</v>
      </c>
      <c r="F328" s="17">
        <v>2292.06</v>
      </c>
      <c r="G328" s="10" t="str">
        <f>VLOOKUP(Table11[[#This Row],[Store]],'Rates from Tracker'!A:B,2,0)</f>
        <v>South Eugene</v>
      </c>
      <c r="H328" t="str">
        <f>VLOOKUP(D328,'Rates from Tracker'!A:C,3,0)</f>
        <v>SSR Holdings LLC</v>
      </c>
      <c r="I328" t="str">
        <f>VLOOKUP(Table11[[#This Row],[Franchisee]],'Rates from Tracker'!C:D,2,0)</f>
        <v>Bikram</v>
      </c>
      <c r="J328" s="10">
        <f>ROUND(IF(Table11[[#This Row],[Location]]="Belmont Market",Table11[[#This Row],[Column2]]*0.01,IF(Table11[[#This Row],[Location]]="Country Club Centre",Table11[[#This Row],[Column2]]*0.01,IF(Table11[[#This Row],[Location]]="Naval Air Station Norfolk",Table11[[#This Row],[Column2]]*0.005,F328*0.02))),2)</f>
        <v>45.84</v>
      </c>
      <c r="K32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28" s="11">
        <f t="shared" si="12"/>
        <v>22.92</v>
      </c>
      <c r="M328" s="10">
        <f t="shared" si="13"/>
        <v>68.760000000000005</v>
      </c>
    </row>
    <row r="329" spans="1:13" x14ac:dyDescent="0.25">
      <c r="A329" s="143" t="str">
        <f>IF(Table11[[#This Row],[Date]]=0,"",IF(Table11[[#This Row],[Date]]&lt;(Summary!$B$3-6),1,""))</f>
        <v/>
      </c>
      <c r="B329" s="127">
        <v>46267</v>
      </c>
      <c r="C329" s="16">
        <v>212</v>
      </c>
      <c r="D329" s="16" t="s">
        <v>39</v>
      </c>
      <c r="E329" s="17">
        <v>2630.06</v>
      </c>
      <c r="F329" s="17">
        <v>2554.5</v>
      </c>
      <c r="G329" s="10" t="str">
        <f>VLOOKUP(Table11[[#This Row],[Store]],'Rates from Tracker'!A:B,2,0)</f>
        <v>Woodland</v>
      </c>
      <c r="H329" t="str">
        <f>VLOOKUP(D329,'Rates from Tracker'!A:C,3,0)</f>
        <v>Exceed Group Woodland</v>
      </c>
      <c r="I329" t="str">
        <f>VLOOKUP(Table11[[#This Row],[Franchisee]],'Rates from Tracker'!C:D,2,0)</f>
        <v>Chawla</v>
      </c>
      <c r="J329" s="10">
        <f>ROUND(IF(Table11[[#This Row],[Location]]="Belmont Market",Table11[[#This Row],[Column2]]*0.01,IF(Table11[[#This Row],[Location]]="Country Club Centre",Table11[[#This Row],[Column2]]*0.01,IF(Table11[[#This Row],[Location]]="Naval Air Station Norfolk",Table11[[#This Row],[Column2]]*0.005,F329*0.02))),2)</f>
        <v>51.09</v>
      </c>
      <c r="K32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29" s="11">
        <f t="shared" si="12"/>
        <v>127.73</v>
      </c>
      <c r="M329" s="10">
        <f t="shared" si="13"/>
        <v>178.82</v>
      </c>
    </row>
    <row r="330" spans="1:13" x14ac:dyDescent="0.25">
      <c r="A330" s="143" t="str">
        <f>IF(Table11[[#This Row],[Date]]=0,"",IF(Table11[[#This Row],[Date]]&lt;(Summary!$B$3-6),1,""))</f>
        <v/>
      </c>
      <c r="B330" s="127">
        <v>46267</v>
      </c>
      <c r="C330" s="16">
        <v>216</v>
      </c>
      <c r="D330" s="16" t="s">
        <v>23</v>
      </c>
      <c r="E330" s="17">
        <v>1972.09</v>
      </c>
      <c r="F330" s="17">
        <v>1877.49</v>
      </c>
      <c r="G330" s="10" t="str">
        <f>VLOOKUP(Table11[[#This Row],[Store]],'Rates from Tracker'!A:B,2,0)</f>
        <v>NE Columbia</v>
      </c>
      <c r="H330" t="str">
        <f>VLOOKUP(D330,'Rates from Tracker'!A:C,3,0)</f>
        <v>Rolling Dough LLC</v>
      </c>
      <c r="I330" t="str">
        <f>VLOOKUP(Table11[[#This Row],[Franchisee]],'Rates from Tracker'!C:D,2,0)</f>
        <v>Connolly</v>
      </c>
      <c r="J330" s="10">
        <f>ROUND(IF(Table11[[#This Row],[Location]]="Belmont Market",Table11[[#This Row],[Column2]]*0.01,IF(Table11[[#This Row],[Location]]="Country Club Centre",Table11[[#This Row],[Column2]]*0.01,IF(Table11[[#This Row],[Location]]="Naval Air Station Norfolk",Table11[[#This Row],[Column2]]*0.005,F330*0.02))),2)</f>
        <v>37.549999999999997</v>
      </c>
      <c r="K33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30" s="11">
        <f t="shared" si="12"/>
        <v>93.87</v>
      </c>
      <c r="M330" s="10">
        <f t="shared" si="13"/>
        <v>131.42000000000002</v>
      </c>
    </row>
    <row r="331" spans="1:13" x14ac:dyDescent="0.25">
      <c r="A331" s="143" t="str">
        <f>IF(Table11[[#This Row],[Date]]=0,"",IF(Table11[[#This Row],[Date]]&lt;(Summary!$B$3-6),1,""))</f>
        <v/>
      </c>
      <c r="B331" s="127">
        <v>46267</v>
      </c>
      <c r="C331" s="16">
        <v>228</v>
      </c>
      <c r="D331" s="16" t="s">
        <v>131</v>
      </c>
      <c r="E331" s="17">
        <v>1762.64</v>
      </c>
      <c r="F331" s="17">
        <v>1748.22</v>
      </c>
      <c r="G331" s="10" t="str">
        <f>VLOOKUP(Table11[[#This Row],[Store]],'Rates from Tracker'!A:B,2,0)</f>
        <v>Auburn Village</v>
      </c>
      <c r="H331" t="str">
        <f>VLOOKUP(D331,'Rates from Tracker'!A:C,3,0)</f>
        <v>Exceed Group Auburn Village</v>
      </c>
      <c r="I331" t="str">
        <f>VLOOKUP(Table11[[#This Row],[Franchisee]],'Rates from Tracker'!C:D,2,0)</f>
        <v>Chawla</v>
      </c>
      <c r="J331" s="10">
        <f>ROUND(IF(Table11[[#This Row],[Location]]="Belmont Market",Table11[[#This Row],[Column2]]*0.01,IF(Table11[[#This Row],[Location]]="Country Club Centre",Table11[[#This Row],[Column2]]*0.01,IF(Table11[[#This Row],[Location]]="Naval Air Station Norfolk",Table11[[#This Row],[Column2]]*0.005,F331*0.02))),2)</f>
        <v>34.96</v>
      </c>
      <c r="K33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31" s="11">
        <f t="shared" si="12"/>
        <v>87.41</v>
      </c>
      <c r="M331" s="10">
        <f t="shared" si="13"/>
        <v>122.37</v>
      </c>
    </row>
    <row r="332" spans="1:13" x14ac:dyDescent="0.25">
      <c r="A332" s="143" t="str">
        <f>IF(Table11[[#This Row],[Date]]=0,"",IF(Table11[[#This Row],[Date]]&lt;(Summary!$B$3-6),1,""))</f>
        <v/>
      </c>
      <c r="B332" s="127">
        <v>46267</v>
      </c>
      <c r="C332" s="16">
        <v>231</v>
      </c>
      <c r="D332" s="16" t="s">
        <v>133</v>
      </c>
      <c r="E332" s="17">
        <v>2116.0500000000002</v>
      </c>
      <c r="F332" s="17">
        <v>2103.91</v>
      </c>
      <c r="G332" s="10" t="str">
        <f>VLOOKUP(Table11[[#This Row],[Store]],'Rates from Tracker'!A:B,2,0)</f>
        <v>Kennesaw</v>
      </c>
      <c r="H332" t="str">
        <f>VLOOKUP(D332,'Rates from Tracker'!A:C,3,0)</f>
        <v>Southern Pie LLC</v>
      </c>
      <c r="I332" t="str">
        <f>VLOOKUP(Table11[[#This Row],[Franchisee]],'Rates from Tracker'!C:D,2,0)</f>
        <v>Hill/Hayden</v>
      </c>
      <c r="J332" s="10">
        <f>ROUND(IF(Table11[[#This Row],[Location]]="Belmont Market",Table11[[#This Row],[Column2]]*0.01,IF(Table11[[#This Row],[Location]]="Country Club Centre",Table11[[#This Row],[Column2]]*0.01,IF(Table11[[#This Row],[Location]]="Naval Air Station Norfolk",Table11[[#This Row],[Column2]]*0.005,F332*0.02))),2)</f>
        <v>42.08</v>
      </c>
      <c r="K33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32" s="11">
        <f t="shared" si="12"/>
        <v>105.2</v>
      </c>
      <c r="M332" s="10">
        <f t="shared" si="13"/>
        <v>147.28</v>
      </c>
    </row>
    <row r="333" spans="1:13" x14ac:dyDescent="0.25">
      <c r="A333" s="143" t="str">
        <f>IF(Table11[[#This Row],[Date]]=0,"",IF(Table11[[#This Row],[Date]]&lt;(Summary!$B$3-6),1,""))</f>
        <v/>
      </c>
      <c r="B333" s="127">
        <v>46267</v>
      </c>
      <c r="C333" s="16">
        <v>241</v>
      </c>
      <c r="D333" s="16" t="s">
        <v>592</v>
      </c>
      <c r="E333" s="17">
        <v>2545.06</v>
      </c>
      <c r="F333" s="17">
        <v>2529.14</v>
      </c>
      <c r="G333" s="10" t="str">
        <f>VLOOKUP(Table11[[#This Row],[Store]],'Rates from Tracker'!A:B,2,0)</f>
        <v>Woods Cross</v>
      </c>
      <c r="H333" t="str">
        <f>VLOOKUP(D333,'Rates from Tracker'!A:C,3,0)</f>
        <v>SSR Holdings LLC</v>
      </c>
      <c r="I333" t="str">
        <f>VLOOKUP(Table11[[#This Row],[Franchisee]],'Rates from Tracker'!C:D,2,0)</f>
        <v>Bikram</v>
      </c>
      <c r="J333" s="10">
        <f>ROUND(IF(Table11[[#This Row],[Location]]="Belmont Market",Table11[[#This Row],[Column2]]*0.01,IF(Table11[[#This Row],[Location]]="Country Club Centre",Table11[[#This Row],[Column2]]*0.01,IF(Table11[[#This Row],[Location]]="Naval Air Station Norfolk",Table11[[#This Row],[Column2]]*0.005,F333*0.02))),2)</f>
        <v>50.58</v>
      </c>
      <c r="K33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33" s="11">
        <f t="shared" si="12"/>
        <v>25.29</v>
      </c>
      <c r="M333" s="10">
        <f t="shared" si="13"/>
        <v>75.87</v>
      </c>
    </row>
    <row r="334" spans="1:13" x14ac:dyDescent="0.25">
      <c r="A334" s="143" t="str">
        <f>IF(Table11[[#This Row],[Date]]=0,"",IF(Table11[[#This Row],[Date]]&lt;(Summary!$B$3-6),1,""))</f>
        <v/>
      </c>
      <c r="B334" s="127">
        <v>46267</v>
      </c>
      <c r="C334" s="16">
        <v>244</v>
      </c>
      <c r="D334" s="16" t="s">
        <v>155</v>
      </c>
      <c r="E334" s="17">
        <v>1691.62</v>
      </c>
      <c r="F334" s="17">
        <v>1655.86</v>
      </c>
      <c r="G334" s="10" t="str">
        <f>VLOOKUP(Table11[[#This Row],[Store]],'Rates from Tracker'!A:B,2,0)</f>
        <v>Redfield Promenade</v>
      </c>
      <c r="H334" t="str">
        <f>VLOOKUP(D334,'Rates from Tracker'!A:C,3,0)</f>
        <v>Exceed Group Redfield Promenade</v>
      </c>
      <c r="I334" t="str">
        <f>VLOOKUP(Table11[[#This Row],[Franchisee]],'Rates from Tracker'!C:D,2,0)</f>
        <v>Chawla</v>
      </c>
      <c r="J334" s="10">
        <f>ROUND(IF(Table11[[#This Row],[Location]]="Belmont Market",Table11[[#This Row],[Column2]]*0.01,IF(Table11[[#This Row],[Location]]="Country Club Centre",Table11[[#This Row],[Column2]]*0.01,IF(Table11[[#This Row],[Location]]="Naval Air Station Norfolk",Table11[[#This Row],[Column2]]*0.005,F334*0.02))),2)</f>
        <v>33.119999999999997</v>
      </c>
      <c r="K33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34" s="11">
        <f t="shared" si="12"/>
        <v>82.79</v>
      </c>
      <c r="M334" s="10">
        <f t="shared" si="13"/>
        <v>115.91</v>
      </c>
    </row>
    <row r="335" spans="1:13" x14ac:dyDescent="0.25">
      <c r="A335" s="143" t="str">
        <f>IF(Table11[[#This Row],[Date]]=0,"",IF(Table11[[#This Row],[Date]]&lt;(Summary!$B$3-6),1,""))</f>
        <v/>
      </c>
      <c r="B335" s="127">
        <v>46267</v>
      </c>
      <c r="C335" s="16">
        <v>245</v>
      </c>
      <c r="D335" s="16" t="s">
        <v>157</v>
      </c>
      <c r="E335" s="17">
        <v>1793.03</v>
      </c>
      <c r="F335" s="17">
        <v>1710.86</v>
      </c>
      <c r="G335" s="10" t="str">
        <f>VLOOKUP(Table11[[#This Row],[Store]],'Rates from Tracker'!A:B,2,0)</f>
        <v>Evansville #11</v>
      </c>
      <c r="H335" t="str">
        <f>VLOOKUP(D335,'Rates from Tracker'!A:C,3,0)</f>
        <v>Cool Dough Development, LLC</v>
      </c>
      <c r="I335" t="str">
        <f>VLOOKUP(Table11[[#This Row],[Franchisee]],'Rates from Tracker'!C:D,2,0)</f>
        <v>Denning</v>
      </c>
      <c r="J335" s="10">
        <f>ROUND(IF(Table11[[#This Row],[Location]]="Belmont Market",Table11[[#This Row],[Column2]]*0.01,IF(Table11[[#This Row],[Location]]="Country Club Centre",Table11[[#This Row],[Column2]]*0.01,IF(Table11[[#This Row],[Location]]="Naval Air Station Norfolk",Table11[[#This Row],[Column2]]*0.005,F335*0.02))),2)</f>
        <v>34.22</v>
      </c>
      <c r="K33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35" s="11">
        <f t="shared" si="12"/>
        <v>85.54</v>
      </c>
      <c r="M335" s="10">
        <f t="shared" si="13"/>
        <v>119.76</v>
      </c>
    </row>
    <row r="336" spans="1:13" x14ac:dyDescent="0.25">
      <c r="A336" s="143" t="str">
        <f>IF(Table11[[#This Row],[Date]]=0,"",IF(Table11[[#This Row],[Date]]&lt;(Summary!$B$3-6),1,""))</f>
        <v/>
      </c>
      <c r="B336" s="127">
        <v>46267</v>
      </c>
      <c r="C336" s="16">
        <v>251</v>
      </c>
      <c r="D336" s="16" t="s">
        <v>258</v>
      </c>
      <c r="E336" s="17">
        <v>3710.39</v>
      </c>
      <c r="F336" s="17">
        <v>3678.44</v>
      </c>
      <c r="G336" s="10" t="str">
        <f>VLOOKUP(Table11[[#This Row],[Store]],'Rates from Tracker'!A:B,2,0)</f>
        <v>Westminster Promenade</v>
      </c>
      <c r="H336" t="str">
        <f>VLOOKUP(D336,'Rates from Tracker'!A:C,3,0)</f>
        <v>Best Pizza LLC</v>
      </c>
      <c r="I336" t="str">
        <f>VLOOKUP(Table11[[#This Row],[Franchisee]],'Rates from Tracker'!C:D,2,0)</f>
        <v>Merullo</v>
      </c>
      <c r="J336" s="10">
        <f>ROUND(IF(Table11[[#This Row],[Location]]="Belmont Market",Table11[[#This Row],[Column2]]*0.01,IF(Table11[[#This Row],[Location]]="Country Club Centre",Table11[[#This Row],[Column2]]*0.01,IF(Table11[[#This Row],[Location]]="Naval Air Station Norfolk",Table11[[#This Row],[Column2]]*0.005,F336*0.02))),2)</f>
        <v>73.569999999999993</v>
      </c>
      <c r="K33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36" s="11">
        <f t="shared" si="12"/>
        <v>183.92</v>
      </c>
      <c r="M336" s="10">
        <f t="shared" si="13"/>
        <v>257.49</v>
      </c>
    </row>
    <row r="337" spans="1:13" x14ac:dyDescent="0.25">
      <c r="A337" s="143" t="str">
        <f>IF(Table11[[#This Row],[Date]]=0,"",IF(Table11[[#This Row],[Date]]&lt;(Summary!$B$3-6),1,""))</f>
        <v/>
      </c>
      <c r="B337" s="127">
        <v>46267</v>
      </c>
      <c r="C337" s="16">
        <v>253</v>
      </c>
      <c r="D337" s="16" t="s">
        <v>580</v>
      </c>
      <c r="E337" s="17">
        <v>1666.02</v>
      </c>
      <c r="F337" s="17">
        <v>1652.58</v>
      </c>
      <c r="G337" s="10" t="str">
        <f>VLOOKUP(Table11[[#This Row],[Store]],'Rates from Tracker'!A:B,2,0)</f>
        <v>Park City</v>
      </c>
      <c r="H337" t="str">
        <f>VLOOKUP(D337,'Rates from Tracker'!A:C,3,0)</f>
        <v>SSR Holdings LLC</v>
      </c>
      <c r="I337" t="str">
        <f>VLOOKUP(Table11[[#This Row],[Franchisee]],'Rates from Tracker'!C:D,2,0)</f>
        <v>Bikram</v>
      </c>
      <c r="J337" s="10">
        <f>ROUND(IF(Table11[[#This Row],[Location]]="Belmont Market",Table11[[#This Row],[Column2]]*0.01,IF(Table11[[#This Row],[Location]]="Country Club Centre",Table11[[#This Row],[Column2]]*0.01,IF(Table11[[#This Row],[Location]]="Naval Air Station Norfolk",Table11[[#This Row],[Column2]]*0.005,F337*0.02))),2)</f>
        <v>33.049999999999997</v>
      </c>
      <c r="K33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37" s="11">
        <f t="shared" si="12"/>
        <v>16.53</v>
      </c>
      <c r="M337" s="10">
        <f t="shared" si="13"/>
        <v>49.58</v>
      </c>
    </row>
    <row r="338" spans="1:13" x14ac:dyDescent="0.25">
      <c r="A338" s="143" t="str">
        <f>IF(Table11[[#This Row],[Date]]=0,"",IF(Table11[[#This Row],[Date]]&lt;(Summary!$B$3-6),1,""))</f>
        <v/>
      </c>
      <c r="B338" s="127">
        <v>46267</v>
      </c>
      <c r="C338" s="16">
        <v>256</v>
      </c>
      <c r="D338" s="16" t="s">
        <v>266</v>
      </c>
      <c r="E338" s="17">
        <v>3264.76</v>
      </c>
      <c r="F338" s="17">
        <v>3145.25</v>
      </c>
      <c r="G338" s="10" t="str">
        <f>VLOOKUP(Table11[[#This Row],[Store]],'Rates from Tracker'!A:B,2,0)</f>
        <v>S Academy Highlands</v>
      </c>
      <c r="H338" t="str">
        <f>VLOOKUP(D338,'Rates from Tracker'!A:C,3,0)</f>
        <v>Best Pizza LLC</v>
      </c>
      <c r="I338" t="str">
        <f>VLOOKUP(Table11[[#This Row],[Franchisee]],'Rates from Tracker'!C:D,2,0)</f>
        <v>Merullo</v>
      </c>
      <c r="J338" s="10">
        <f>ROUND(IF(Table11[[#This Row],[Location]]="Belmont Market",Table11[[#This Row],[Column2]]*0.01,IF(Table11[[#This Row],[Location]]="Country Club Centre",Table11[[#This Row],[Column2]]*0.01,IF(Table11[[#This Row],[Location]]="Naval Air Station Norfolk",Table11[[#This Row],[Column2]]*0.005,F338*0.02))),2)</f>
        <v>62.91</v>
      </c>
      <c r="K33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38" s="11">
        <f t="shared" si="12"/>
        <v>157.26</v>
      </c>
      <c r="M338" s="10">
        <f t="shared" si="13"/>
        <v>220.17</v>
      </c>
    </row>
    <row r="339" spans="1:13" x14ac:dyDescent="0.25">
      <c r="A339" s="143" t="str">
        <f>IF(Table11[[#This Row],[Date]]=0,"",IF(Table11[[#This Row],[Date]]&lt;(Summary!$B$3-6),1,""))</f>
        <v/>
      </c>
      <c r="B339" s="127">
        <v>46267</v>
      </c>
      <c r="C339" s="16">
        <v>258</v>
      </c>
      <c r="D339" s="16" t="s">
        <v>582</v>
      </c>
      <c r="E339" s="17">
        <v>1940.9</v>
      </c>
      <c r="F339" s="17">
        <v>1901.08</v>
      </c>
      <c r="G339" s="10" t="str">
        <f>VLOOKUP(Table11[[#This Row],[Store]],'Rates from Tracker'!A:B,2,0)</f>
        <v>Riverdale</v>
      </c>
      <c r="H339" t="str">
        <f>VLOOKUP(D339,'Rates from Tracker'!A:C,3,0)</f>
        <v>SSR Holdings LLC</v>
      </c>
      <c r="I339" t="str">
        <f>VLOOKUP(Table11[[#This Row],[Franchisee]],'Rates from Tracker'!C:D,2,0)</f>
        <v>Bikram</v>
      </c>
      <c r="J339" s="10">
        <f>ROUND(IF(Table11[[#This Row],[Location]]="Belmont Market",Table11[[#This Row],[Column2]]*0.01,IF(Table11[[#This Row],[Location]]="Country Club Centre",Table11[[#This Row],[Column2]]*0.01,IF(Table11[[#This Row],[Location]]="Naval Air Station Norfolk",Table11[[#This Row],[Column2]]*0.005,F339*0.02))),2)</f>
        <v>38.020000000000003</v>
      </c>
      <c r="K33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39" s="11">
        <f t="shared" si="12"/>
        <v>19.010000000000002</v>
      </c>
      <c r="M339" s="10">
        <f t="shared" si="13"/>
        <v>57.03</v>
      </c>
    </row>
    <row r="340" spans="1:13" x14ac:dyDescent="0.25">
      <c r="A340" s="143" t="str">
        <f>IF(Table11[[#This Row],[Date]]=0,"",IF(Table11[[#This Row],[Date]]&lt;(Summary!$B$3-6),1,""))</f>
        <v/>
      </c>
      <c r="B340" s="127">
        <v>46267</v>
      </c>
      <c r="C340" s="16">
        <v>260</v>
      </c>
      <c r="D340" s="16" t="s">
        <v>280</v>
      </c>
      <c r="E340" s="17">
        <v>3531.92</v>
      </c>
      <c r="F340" s="17">
        <v>3433.28</v>
      </c>
      <c r="G340" s="10" t="str">
        <f>VLOOKUP(Table11[[#This Row],[Store]],'Rates from Tracker'!A:B,2,0)</f>
        <v>Highlands Ranch</v>
      </c>
      <c r="H340" t="str">
        <f>VLOOKUP(D340,'Rates from Tracker'!A:C,3,0)</f>
        <v>Best Pizza LLC</v>
      </c>
      <c r="I340" t="str">
        <f>VLOOKUP(Table11[[#This Row],[Franchisee]],'Rates from Tracker'!C:D,2,0)</f>
        <v>Merullo</v>
      </c>
      <c r="J340" s="10">
        <f>ROUND(IF(Table11[[#This Row],[Location]]="Belmont Market",Table11[[#This Row],[Column2]]*0.01,IF(Table11[[#This Row],[Location]]="Country Club Centre",Table11[[#This Row],[Column2]]*0.01,IF(Table11[[#This Row],[Location]]="Naval Air Station Norfolk",Table11[[#This Row],[Column2]]*0.005,F340*0.02))),2)</f>
        <v>68.67</v>
      </c>
      <c r="K34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40" s="11">
        <f t="shared" si="12"/>
        <v>171.66</v>
      </c>
      <c r="M340" s="10">
        <f t="shared" si="13"/>
        <v>240.32999999999998</v>
      </c>
    </row>
    <row r="341" spans="1:13" x14ac:dyDescent="0.25">
      <c r="A341" s="143" t="str">
        <f>IF(Table11[[#This Row],[Date]]=0,"",IF(Table11[[#This Row],[Date]]&lt;(Summary!$B$3-6),1,""))</f>
        <v/>
      </c>
      <c r="B341" s="127">
        <v>46267</v>
      </c>
      <c r="C341" s="16">
        <v>265</v>
      </c>
      <c r="D341" s="16" t="s">
        <v>267</v>
      </c>
      <c r="E341" s="17">
        <v>3867.29</v>
      </c>
      <c r="F341" s="17">
        <v>3788.77</v>
      </c>
      <c r="G341" s="10" t="str">
        <f>VLOOKUP(Table11[[#This Row],[Store]],'Rates from Tracker'!A:B,2,0)</f>
        <v>Dublin Commons</v>
      </c>
      <c r="H341" t="str">
        <f>VLOOKUP(D341,'Rates from Tracker'!A:C,3,0)</f>
        <v>Best Pizza LLC</v>
      </c>
      <c r="I341" t="str">
        <f>VLOOKUP(Table11[[#This Row],[Franchisee]],'Rates from Tracker'!C:D,2,0)</f>
        <v>Merullo</v>
      </c>
      <c r="J341" s="10">
        <f>ROUND(IF(Table11[[#This Row],[Location]]="Belmont Market",Table11[[#This Row],[Column2]]*0.01,IF(Table11[[#This Row],[Location]]="Country Club Centre",Table11[[#This Row],[Column2]]*0.01,IF(Table11[[#This Row],[Location]]="Naval Air Station Norfolk",Table11[[#This Row],[Column2]]*0.005,F341*0.02))),2)</f>
        <v>75.78</v>
      </c>
      <c r="K34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41" s="11">
        <f t="shared" si="12"/>
        <v>189.44</v>
      </c>
      <c r="M341" s="10">
        <f t="shared" si="13"/>
        <v>265.22000000000003</v>
      </c>
    </row>
    <row r="342" spans="1:13" x14ac:dyDescent="0.25">
      <c r="A342" s="143" t="str">
        <f>IF(Table11[[#This Row],[Date]]=0,"",IF(Table11[[#This Row],[Date]]&lt;(Summary!$B$3-6),1,""))</f>
        <v/>
      </c>
      <c r="B342" s="127">
        <v>46267</v>
      </c>
      <c r="C342" s="16">
        <v>267</v>
      </c>
      <c r="D342" s="16" t="s">
        <v>281</v>
      </c>
      <c r="E342" s="17">
        <v>1133.2</v>
      </c>
      <c r="F342" s="17">
        <v>1126.92</v>
      </c>
      <c r="G342" s="10" t="str">
        <f>VLOOKUP(Table11[[#This Row],[Store]],'Rates from Tracker'!A:B,2,0)</f>
        <v>Decatur</v>
      </c>
      <c r="H342" t="str">
        <f>VLOOKUP(D342,'Rates from Tracker'!A:C,3,0)</f>
        <v>DAZ9</v>
      </c>
      <c r="I342" t="str">
        <f>VLOOKUP(Table11[[#This Row],[Franchisee]],'Rates from Tracker'!C:D,2,0)</f>
        <v>Neal Patel</v>
      </c>
      <c r="J342" s="10">
        <f>ROUND(IF(Table11[[#This Row],[Location]]="Belmont Market",Table11[[#This Row],[Column2]]*0.01,IF(Table11[[#This Row],[Location]]="Country Club Centre",Table11[[#This Row],[Column2]]*0.01,IF(Table11[[#This Row],[Location]]="Naval Air Station Norfolk",Table11[[#This Row],[Column2]]*0.005,F342*0.02))),2)</f>
        <v>22.54</v>
      </c>
      <c r="K34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42" s="11">
        <f t="shared" si="12"/>
        <v>11.27</v>
      </c>
      <c r="M342" s="10">
        <f t="shared" si="13"/>
        <v>33.81</v>
      </c>
    </row>
    <row r="343" spans="1:13" x14ac:dyDescent="0.25">
      <c r="A343" s="143" t="str">
        <f>IF(Table11[[#This Row],[Date]]=0,"",IF(Table11[[#This Row],[Date]]&lt;(Summary!$B$3-6),1,""))</f>
        <v/>
      </c>
      <c r="B343" s="127">
        <v>46267</v>
      </c>
      <c r="C343" s="16">
        <v>272</v>
      </c>
      <c r="D343" s="16" t="s">
        <v>290</v>
      </c>
      <c r="E343" s="17">
        <v>3603.11</v>
      </c>
      <c r="F343" s="17">
        <v>3574.73</v>
      </c>
      <c r="G343" s="10" t="str">
        <f>VLOOKUP(Table11[[#This Row],[Store]],'Rates from Tracker'!A:B,2,0)</f>
        <v>Northfield Commons</v>
      </c>
      <c r="H343" t="str">
        <f>VLOOKUP(D343,'Rates from Tracker'!A:C,3,0)</f>
        <v>Best Pizza LLC</v>
      </c>
      <c r="I343" t="str">
        <f>VLOOKUP(Table11[[#This Row],[Franchisee]],'Rates from Tracker'!C:D,2,0)</f>
        <v>Merullo</v>
      </c>
      <c r="J343" s="10">
        <f>ROUND(IF(Table11[[#This Row],[Location]]="Belmont Market",Table11[[#This Row],[Column2]]*0.01,IF(Table11[[#This Row],[Location]]="Country Club Centre",Table11[[#This Row],[Column2]]*0.01,IF(Table11[[#This Row],[Location]]="Naval Air Station Norfolk",Table11[[#This Row],[Column2]]*0.005,F343*0.02))),2)</f>
        <v>71.489999999999995</v>
      </c>
      <c r="K34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43" s="11">
        <f t="shared" si="12"/>
        <v>178.74</v>
      </c>
      <c r="M343" s="10">
        <f t="shared" si="13"/>
        <v>250.23000000000002</v>
      </c>
    </row>
    <row r="344" spans="1:13" x14ac:dyDescent="0.25">
      <c r="A344" s="143" t="str">
        <f>IF(Table11[[#This Row],[Date]]=0,"",IF(Table11[[#This Row],[Date]]&lt;(Summary!$B$3-6),1,""))</f>
        <v/>
      </c>
      <c r="B344" s="127">
        <v>46267</v>
      </c>
      <c r="C344" s="16">
        <v>278</v>
      </c>
      <c r="D344" s="16" t="s">
        <v>284</v>
      </c>
      <c r="E344" s="17">
        <v>1809.25</v>
      </c>
      <c r="F344" s="17">
        <v>1785.59</v>
      </c>
      <c r="G344" s="10" t="str">
        <f>VLOOKUP(Table11[[#This Row],[Store]],'Rates from Tracker'!A:B,2,0)</f>
        <v>Diamond Circle</v>
      </c>
      <c r="H344" t="str">
        <f>VLOOKUP(D344,'Rates from Tracker'!A:C,3,0)</f>
        <v>Best Pizza LLC</v>
      </c>
      <c r="I344" t="str">
        <f>VLOOKUP(Table11[[#This Row],[Franchisee]],'Rates from Tracker'!C:D,2,0)</f>
        <v>Merullo</v>
      </c>
      <c r="J344" s="10">
        <f>ROUND(IF(Table11[[#This Row],[Location]]="Belmont Market",Table11[[#This Row],[Column2]]*0.01,IF(Table11[[#This Row],[Location]]="Country Club Centre",Table11[[#This Row],[Column2]]*0.01,IF(Table11[[#This Row],[Location]]="Naval Air Station Norfolk",Table11[[#This Row],[Column2]]*0.005,F344*0.02))),2)</f>
        <v>35.71</v>
      </c>
      <c r="K34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44" s="11">
        <f t="shared" si="12"/>
        <v>89.28</v>
      </c>
      <c r="M344" s="10">
        <f t="shared" si="13"/>
        <v>124.99000000000001</v>
      </c>
    </row>
    <row r="345" spans="1:13" x14ac:dyDescent="0.25">
      <c r="A345" s="143" t="str">
        <f>IF(Table11[[#This Row],[Date]]=0,"",IF(Table11[[#This Row],[Date]]&lt;(Summary!$B$3-6),1,""))</f>
        <v/>
      </c>
      <c r="B345" s="127">
        <v>46267</v>
      </c>
      <c r="C345" s="16">
        <v>279</v>
      </c>
      <c r="D345" s="16" t="s">
        <v>299</v>
      </c>
      <c r="E345" s="17">
        <v>2010.03</v>
      </c>
      <c r="F345" s="17">
        <v>1984.93</v>
      </c>
      <c r="G345" s="10" t="str">
        <f>VLOOKUP(Table11[[#This Row],[Store]],'Rates from Tracker'!A:B,2,0)</f>
        <v>Lexington</v>
      </c>
      <c r="H345" t="str">
        <f>VLOOKUP(D345,'Rates from Tracker'!A:C,3,0)</f>
        <v>Rolling Dough LLC</v>
      </c>
      <c r="I345" t="str">
        <f>VLOOKUP(Table11[[#This Row],[Franchisee]],'Rates from Tracker'!C:D,2,0)</f>
        <v>Connolly</v>
      </c>
      <c r="J345" s="10">
        <f>ROUND(IF(Table11[[#This Row],[Location]]="Belmont Market",Table11[[#This Row],[Column2]]*0.01,IF(Table11[[#This Row],[Location]]="Country Club Centre",Table11[[#This Row],[Column2]]*0.01,IF(Table11[[#This Row],[Location]]="Naval Air Station Norfolk",Table11[[#This Row],[Column2]]*0.005,F345*0.02))),2)</f>
        <v>39.700000000000003</v>
      </c>
      <c r="K34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45" s="11">
        <f t="shared" si="12"/>
        <v>99.25</v>
      </c>
      <c r="M345" s="10">
        <f t="shared" si="13"/>
        <v>138.94999999999999</v>
      </c>
    </row>
    <row r="346" spans="1:13" x14ac:dyDescent="0.25">
      <c r="A346" s="143" t="str">
        <f>IF(Table11[[#This Row],[Date]]=0,"",IF(Table11[[#This Row],[Date]]&lt;(Summary!$B$3-6),1,""))</f>
        <v/>
      </c>
      <c r="B346" s="127">
        <v>46267</v>
      </c>
      <c r="C346" s="16">
        <v>285</v>
      </c>
      <c r="D346" s="16" t="s">
        <v>288</v>
      </c>
      <c r="E346" s="17">
        <v>3158.79</v>
      </c>
      <c r="F346" s="17">
        <v>3094.95</v>
      </c>
      <c r="G346" s="10" t="str">
        <f>VLOOKUP(Table11[[#This Row],[Store]],'Rates from Tracker'!A:B,2,0)</f>
        <v>Polaris Pointe</v>
      </c>
      <c r="H346" t="str">
        <f>VLOOKUP(D346,'Rates from Tracker'!A:C,3,0)</f>
        <v>Best Pizza LLC</v>
      </c>
      <c r="I346" t="str">
        <f>VLOOKUP(Table11[[#This Row],[Franchisee]],'Rates from Tracker'!C:D,2,0)</f>
        <v>Merullo</v>
      </c>
      <c r="J346" s="10">
        <f>ROUND(IF(Table11[[#This Row],[Location]]="Belmont Market",Table11[[#This Row],[Column2]]*0.01,IF(Table11[[#This Row],[Location]]="Country Club Centre",Table11[[#This Row],[Column2]]*0.01,IF(Table11[[#This Row],[Location]]="Naval Air Station Norfolk",Table11[[#This Row],[Column2]]*0.005,F346*0.02))),2)</f>
        <v>61.9</v>
      </c>
      <c r="K34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46" s="11">
        <f t="shared" si="12"/>
        <v>154.75</v>
      </c>
      <c r="M346" s="10">
        <f t="shared" si="13"/>
        <v>216.65</v>
      </c>
    </row>
    <row r="347" spans="1:13" x14ac:dyDescent="0.25">
      <c r="A347" s="143" t="str">
        <f>IF(Table11[[#This Row],[Date]]=0,"",IF(Table11[[#This Row],[Date]]&lt;(Summary!$B$3-6),1,""))</f>
        <v/>
      </c>
      <c r="B347" s="127">
        <v>46267</v>
      </c>
      <c r="C347" s="16">
        <v>292</v>
      </c>
      <c r="D347" s="16" t="s">
        <v>296</v>
      </c>
      <c r="E347" s="17">
        <v>2460.89</v>
      </c>
      <c r="F347" s="17">
        <v>2424.9499999999998</v>
      </c>
      <c r="G347" s="10" t="str">
        <f>VLOOKUP(Table11[[#This Row],[Store]],'Rates from Tracker'!A:B,2,0)</f>
        <v>Greeley</v>
      </c>
      <c r="H347" t="str">
        <f>VLOOKUP(D347,'Rates from Tracker'!A:C,3,0)</f>
        <v>Best Pizza LLC</v>
      </c>
      <c r="I347" t="str">
        <f>VLOOKUP(Table11[[#This Row],[Franchisee]],'Rates from Tracker'!C:D,2,0)</f>
        <v>Merullo</v>
      </c>
      <c r="J347" s="10">
        <f>ROUND(IF(Table11[[#This Row],[Location]]="Belmont Market",Table11[[#This Row],[Column2]]*0.01,IF(Table11[[#This Row],[Location]]="Country Club Centre",Table11[[#This Row],[Column2]]*0.01,IF(Table11[[#This Row],[Location]]="Naval Air Station Norfolk",Table11[[#This Row],[Column2]]*0.005,F347*0.02))),2)</f>
        <v>48.5</v>
      </c>
      <c r="K34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47" s="11">
        <f t="shared" si="12"/>
        <v>121.25</v>
      </c>
      <c r="M347" s="10">
        <f t="shared" si="13"/>
        <v>169.75</v>
      </c>
    </row>
    <row r="348" spans="1:13" x14ac:dyDescent="0.25">
      <c r="A348" s="143" t="str">
        <f>IF(Table11[[#This Row],[Date]]=0,"",IF(Table11[[#This Row],[Date]]&lt;(Summary!$B$3-6),1,""))</f>
        <v/>
      </c>
      <c r="B348" s="127">
        <v>46267</v>
      </c>
      <c r="C348" s="16">
        <v>293</v>
      </c>
      <c r="D348" s="16" t="s">
        <v>320</v>
      </c>
      <c r="E348" s="17">
        <v>2355.56</v>
      </c>
      <c r="F348" s="17">
        <v>2336.12</v>
      </c>
      <c r="G348" s="10" t="str">
        <f>VLOOKUP(Table11[[#This Row],[Store]],'Rates from Tracker'!A:B,2,0)</f>
        <v>West Sacramento</v>
      </c>
      <c r="H348" t="str">
        <f>VLOOKUP(D348,'Rates from Tracker'!A:C,3,0)</f>
        <v>Exceed Group West Sacramento</v>
      </c>
      <c r="I348" t="str">
        <f>VLOOKUP(Table11[[#This Row],[Franchisee]],'Rates from Tracker'!C:D,2,0)</f>
        <v>Chawla</v>
      </c>
      <c r="J348" s="10">
        <f>ROUND(IF(Table11[[#This Row],[Location]]="Belmont Market",Table11[[#This Row],[Column2]]*0.01,IF(Table11[[#This Row],[Location]]="Country Club Centre",Table11[[#This Row],[Column2]]*0.01,IF(Table11[[#This Row],[Location]]="Naval Air Station Norfolk",Table11[[#This Row],[Column2]]*0.005,F348*0.02))),2)</f>
        <v>46.72</v>
      </c>
      <c r="K34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48" s="11">
        <f t="shared" si="12"/>
        <v>116.81</v>
      </c>
      <c r="M348" s="10">
        <f t="shared" si="13"/>
        <v>163.53</v>
      </c>
    </row>
    <row r="349" spans="1:13" x14ac:dyDescent="0.25">
      <c r="A349" s="143" t="str">
        <f>IF(Table11[[#This Row],[Date]]=0,"",IF(Table11[[#This Row],[Date]]&lt;(Summary!$B$3-6),1,""))</f>
        <v/>
      </c>
      <c r="B349" s="127">
        <v>46267</v>
      </c>
      <c r="C349" s="16">
        <v>296</v>
      </c>
      <c r="D349" s="16" t="s">
        <v>329</v>
      </c>
      <c r="E349" s="17">
        <v>1121.4000000000001</v>
      </c>
      <c r="F349" s="17">
        <v>1078.74</v>
      </c>
      <c r="G349" s="10" t="str">
        <f>VLOOKUP(Table11[[#This Row],[Store]],'Rates from Tracker'!A:B,2,0)</f>
        <v>Rancho Cordova</v>
      </c>
      <c r="H349" t="str">
        <f>VLOOKUP(D349,'Rates from Tracker'!A:C,3,0)</f>
        <v>Exceed Group Rancho Cordova</v>
      </c>
      <c r="I349" t="str">
        <f>VLOOKUP(Table11[[#This Row],[Franchisee]],'Rates from Tracker'!C:D,2,0)</f>
        <v>Chawla</v>
      </c>
      <c r="J349" s="10">
        <f>ROUND(IF(Table11[[#This Row],[Location]]="Belmont Market",Table11[[#This Row],[Column2]]*0.01,IF(Table11[[#This Row],[Location]]="Country Club Centre",Table11[[#This Row],[Column2]]*0.01,IF(Table11[[#This Row],[Location]]="Naval Air Station Norfolk",Table11[[#This Row],[Column2]]*0.005,F349*0.02))),2)</f>
        <v>21.57</v>
      </c>
      <c r="K34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49" s="11">
        <f t="shared" si="12"/>
        <v>53.94</v>
      </c>
      <c r="M349" s="10">
        <f t="shared" si="13"/>
        <v>75.509999999999991</v>
      </c>
    </row>
    <row r="350" spans="1:13" x14ac:dyDescent="0.25">
      <c r="A350" s="143" t="str">
        <f>IF(Table11[[#This Row],[Date]]=0,"",IF(Table11[[#This Row],[Date]]&lt;(Summary!$B$3-6),1,""))</f>
        <v/>
      </c>
      <c r="B350" s="127">
        <v>46267</v>
      </c>
      <c r="C350" s="16">
        <v>324</v>
      </c>
      <c r="D350" s="16" t="s">
        <v>569</v>
      </c>
      <c r="E350" s="17">
        <v>1615.88</v>
      </c>
      <c r="F350" s="17">
        <v>1591.26</v>
      </c>
      <c r="G350" s="10" t="str">
        <f>VLOOKUP(Table11[[#This Row],[Store]],'Rates from Tracker'!A:B,2,0)</f>
        <v>American Fork</v>
      </c>
      <c r="H350" t="str">
        <f>VLOOKUP(D350,'Rates from Tracker'!A:C,3,0)</f>
        <v>SSR Holdings LLC</v>
      </c>
      <c r="I350" t="str">
        <f>VLOOKUP(Table11[[#This Row],[Franchisee]],'Rates from Tracker'!C:D,2,0)</f>
        <v>Bikram</v>
      </c>
      <c r="J350" s="10">
        <f>ROUND(IF(Table11[[#This Row],[Location]]="Belmont Market",Table11[[#This Row],[Column2]]*0.01,IF(Table11[[#This Row],[Location]]="Country Club Centre",Table11[[#This Row],[Column2]]*0.01,IF(Table11[[#This Row],[Location]]="Naval Air Station Norfolk",Table11[[#This Row],[Column2]]*0.005,F350*0.02))),2)</f>
        <v>31.83</v>
      </c>
      <c r="K35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50" s="11">
        <f t="shared" si="12"/>
        <v>15.91</v>
      </c>
      <c r="M350" s="10">
        <f t="shared" si="13"/>
        <v>47.739999999999995</v>
      </c>
    </row>
    <row r="351" spans="1:13" x14ac:dyDescent="0.25">
      <c r="A351" s="143" t="str">
        <f>IF(Table11[[#This Row],[Date]]=0,"",IF(Table11[[#This Row],[Date]]&lt;(Summary!$B$3-6),1,""))</f>
        <v/>
      </c>
      <c r="B351" s="127">
        <v>46267</v>
      </c>
      <c r="C351" s="16">
        <v>325</v>
      </c>
      <c r="D351" s="16" t="s">
        <v>591</v>
      </c>
      <c r="E351" s="17">
        <v>1813.04</v>
      </c>
      <c r="F351" s="17">
        <v>1769.75</v>
      </c>
      <c r="G351" s="10" t="str">
        <f>VLOOKUP(Table11[[#This Row],[Store]],'Rates from Tracker'!A:B,2,0)</f>
        <v>Sugar House</v>
      </c>
      <c r="H351" t="str">
        <f>VLOOKUP(D351,'Rates from Tracker'!A:C,3,0)</f>
        <v>SSR Holdings LLC</v>
      </c>
      <c r="I351" t="str">
        <f>VLOOKUP(Table11[[#This Row],[Franchisee]],'Rates from Tracker'!C:D,2,0)</f>
        <v>Bikram</v>
      </c>
      <c r="J351" s="10">
        <f>ROUND(IF(Table11[[#This Row],[Location]]="Belmont Market",Table11[[#This Row],[Column2]]*0.01,IF(Table11[[#This Row],[Location]]="Country Club Centre",Table11[[#This Row],[Column2]]*0.01,IF(Table11[[#This Row],[Location]]="Naval Air Station Norfolk",Table11[[#This Row],[Column2]]*0.005,F351*0.02))),2)</f>
        <v>35.4</v>
      </c>
      <c r="K35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51" s="11">
        <f t="shared" si="12"/>
        <v>17.7</v>
      </c>
      <c r="M351" s="10">
        <f t="shared" si="13"/>
        <v>53.099999999999994</v>
      </c>
    </row>
    <row r="352" spans="1:13" x14ac:dyDescent="0.25">
      <c r="A352" s="143" t="str">
        <f>IF(Table11[[#This Row],[Date]]=0,"",IF(Table11[[#This Row],[Date]]&lt;(Summary!$B$3-6),1,""))</f>
        <v/>
      </c>
      <c r="B352" s="127">
        <v>46267</v>
      </c>
      <c r="C352" s="16">
        <v>332</v>
      </c>
      <c r="D352" s="16" t="s">
        <v>583</v>
      </c>
      <c r="E352" s="17">
        <v>1532.64</v>
      </c>
      <c r="F352" s="17">
        <v>1477.57</v>
      </c>
      <c r="G352" s="10" t="str">
        <f>VLOOKUP(Table11[[#This Row],[Store]],'Rates from Tracker'!A:B,2,0)</f>
        <v>Riverton</v>
      </c>
      <c r="H352" t="str">
        <f>VLOOKUP(D352,'Rates from Tracker'!A:C,3,0)</f>
        <v>SSR Holdings LLC</v>
      </c>
      <c r="I352" t="str">
        <f>VLOOKUP(Table11[[#This Row],[Franchisee]],'Rates from Tracker'!C:D,2,0)</f>
        <v>Bikram</v>
      </c>
      <c r="J352" s="10">
        <f>ROUND(IF(Table11[[#This Row],[Location]]="Belmont Market",Table11[[#This Row],[Column2]]*0.01,IF(Table11[[#This Row],[Location]]="Country Club Centre",Table11[[#This Row],[Column2]]*0.01,IF(Table11[[#This Row],[Location]]="Naval Air Station Norfolk",Table11[[#This Row],[Column2]]*0.005,F352*0.02))),2)</f>
        <v>29.55</v>
      </c>
      <c r="K35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52" s="11">
        <f t="shared" si="12"/>
        <v>14.78</v>
      </c>
      <c r="M352" s="10">
        <f t="shared" si="13"/>
        <v>44.33</v>
      </c>
    </row>
    <row r="353" spans="1:13" x14ac:dyDescent="0.25">
      <c r="A353" s="143" t="str">
        <f>IF(Table11[[#This Row],[Date]]=0,"",IF(Table11[[#This Row],[Date]]&lt;(Summary!$B$3-6),1,""))</f>
        <v/>
      </c>
      <c r="B353" s="127">
        <v>46267</v>
      </c>
      <c r="C353" s="16">
        <v>334</v>
      </c>
      <c r="D353" s="16" t="s">
        <v>577</v>
      </c>
      <c r="E353" s="17">
        <v>1884.85</v>
      </c>
      <c r="F353" s="17">
        <v>1815.11</v>
      </c>
      <c r="G353" s="10" t="str">
        <f>VLOOKUP(Table11[[#This Row],[Store]],'Rates from Tracker'!A:B,2,0)</f>
        <v>Layton</v>
      </c>
      <c r="H353" t="str">
        <f>VLOOKUP(D353,'Rates from Tracker'!A:C,3,0)</f>
        <v>SSR Holdings LLC</v>
      </c>
      <c r="I353" t="str">
        <f>VLOOKUP(Table11[[#This Row],[Franchisee]],'Rates from Tracker'!C:D,2,0)</f>
        <v>Bikram</v>
      </c>
      <c r="J353" s="10">
        <f>ROUND(IF(Table11[[#This Row],[Location]]="Belmont Market",Table11[[#This Row],[Column2]]*0.01,IF(Table11[[#This Row],[Location]]="Country Club Centre",Table11[[#This Row],[Column2]]*0.01,IF(Table11[[#This Row],[Location]]="Naval Air Station Norfolk",Table11[[#This Row],[Column2]]*0.005,F353*0.02))),2)</f>
        <v>36.299999999999997</v>
      </c>
      <c r="K35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53" s="11">
        <f t="shared" si="12"/>
        <v>18.149999999999999</v>
      </c>
      <c r="M353" s="10">
        <f t="shared" si="13"/>
        <v>54.449999999999996</v>
      </c>
    </row>
    <row r="354" spans="1:13" x14ac:dyDescent="0.25">
      <c r="A354" s="143" t="str">
        <f>IF(Table11[[#This Row],[Date]]=0,"",IF(Table11[[#This Row],[Date]]&lt;(Summary!$B$3-6),1,""))</f>
        <v/>
      </c>
      <c r="B354" s="127">
        <v>46267</v>
      </c>
      <c r="C354" s="16">
        <v>338</v>
      </c>
      <c r="D354" s="16" t="s">
        <v>310</v>
      </c>
      <c r="E354" s="17">
        <v>2054.9699999999998</v>
      </c>
      <c r="F354" s="17">
        <v>1904.97</v>
      </c>
      <c r="G354" s="10" t="str">
        <f>VLOOKUP(Table11[[#This Row],[Store]],'Rates from Tracker'!A:B,2,0)</f>
        <v>Augusta Exchange</v>
      </c>
      <c r="H354" t="str">
        <f>VLOOKUP(D354,'Rates from Tracker'!A:C,3,0)</f>
        <v>Rolling Dough LLC</v>
      </c>
      <c r="I354" t="str">
        <f>VLOOKUP(Table11[[#This Row],[Franchisee]],'Rates from Tracker'!C:D,2,0)</f>
        <v>Connolly</v>
      </c>
      <c r="J354" s="10">
        <f>ROUND(IF(Table11[[#This Row],[Location]]="Belmont Market",Table11[[#This Row],[Column2]]*0.01,IF(Table11[[#This Row],[Location]]="Country Club Centre",Table11[[#This Row],[Column2]]*0.01,IF(Table11[[#This Row],[Location]]="Naval Air Station Norfolk",Table11[[#This Row],[Column2]]*0.005,F354*0.02))),2)</f>
        <v>38.1</v>
      </c>
      <c r="K35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54" s="11">
        <f t="shared" si="12"/>
        <v>95.25</v>
      </c>
      <c r="M354" s="10">
        <f t="shared" si="13"/>
        <v>133.35</v>
      </c>
    </row>
    <row r="355" spans="1:13" x14ac:dyDescent="0.25">
      <c r="A355" s="143" t="str">
        <f>IF(Table11[[#This Row],[Date]]=0,"",IF(Table11[[#This Row],[Date]]&lt;(Summary!$B$3-6),1,""))</f>
        <v/>
      </c>
      <c r="B355" s="127">
        <v>46267</v>
      </c>
      <c r="C355" s="16">
        <v>348</v>
      </c>
      <c r="D355" s="16" t="s">
        <v>572</v>
      </c>
      <c r="E355" s="17">
        <v>3140.63</v>
      </c>
      <c r="F355" s="17">
        <v>3064.7</v>
      </c>
      <c r="G355" s="10" t="str">
        <f>VLOOKUP(Table11[[#This Row],[Store]],'Rates from Tracker'!A:B,2,0)</f>
        <v>Bend North</v>
      </c>
      <c r="H355" t="str">
        <f>VLOOKUP(D355,'Rates from Tracker'!A:C,3,0)</f>
        <v>SSR Holdings LLC</v>
      </c>
      <c r="I355" t="str">
        <f>VLOOKUP(Table11[[#This Row],[Franchisee]],'Rates from Tracker'!C:D,2,0)</f>
        <v>Bikram</v>
      </c>
      <c r="J355" s="10">
        <f>ROUND(IF(Table11[[#This Row],[Location]]="Belmont Market",Table11[[#This Row],[Column2]]*0.01,IF(Table11[[#This Row],[Location]]="Country Club Centre",Table11[[#This Row],[Column2]]*0.01,IF(Table11[[#This Row],[Location]]="Naval Air Station Norfolk",Table11[[#This Row],[Column2]]*0.005,F355*0.02))),2)</f>
        <v>61.29</v>
      </c>
      <c r="K35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55" s="11">
        <f t="shared" si="12"/>
        <v>30.65</v>
      </c>
      <c r="M355" s="10">
        <f t="shared" si="13"/>
        <v>91.94</v>
      </c>
    </row>
    <row r="356" spans="1:13" x14ac:dyDescent="0.25">
      <c r="A356" s="143" t="str">
        <f>IF(Table11[[#This Row],[Date]]=0,"",IF(Table11[[#This Row],[Date]]&lt;(Summary!$B$3-6),1,""))</f>
        <v/>
      </c>
      <c r="B356" s="127">
        <v>46267</v>
      </c>
      <c r="C356" s="16">
        <v>349</v>
      </c>
      <c r="D356" s="16" t="s">
        <v>588</v>
      </c>
      <c r="E356" s="17">
        <v>1971.76</v>
      </c>
      <c r="F356" s="17">
        <v>1957.39</v>
      </c>
      <c r="G356" s="10" t="str">
        <f>VLOOKUP(Table11[[#This Row],[Store]],'Rates from Tracker'!A:B,2,0)</f>
        <v>South Medford</v>
      </c>
      <c r="H356" t="str">
        <f>VLOOKUP(D356,'Rates from Tracker'!A:C,3,0)</f>
        <v>SSR Holdings LLC</v>
      </c>
      <c r="I356" t="str">
        <f>VLOOKUP(Table11[[#This Row],[Franchisee]],'Rates from Tracker'!C:D,2,0)</f>
        <v>Bikram</v>
      </c>
      <c r="J356" s="10">
        <f>ROUND(IF(Table11[[#This Row],[Location]]="Belmont Market",Table11[[#This Row],[Column2]]*0.01,IF(Table11[[#This Row],[Location]]="Country Club Centre",Table11[[#This Row],[Column2]]*0.01,IF(Table11[[#This Row],[Location]]="Naval Air Station Norfolk",Table11[[#This Row],[Column2]]*0.005,F356*0.02))),2)</f>
        <v>39.15</v>
      </c>
      <c r="K35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56" s="11">
        <f t="shared" si="12"/>
        <v>19.57</v>
      </c>
      <c r="M356" s="10">
        <f t="shared" si="13"/>
        <v>58.72</v>
      </c>
    </row>
    <row r="357" spans="1:13" x14ac:dyDescent="0.25">
      <c r="A357" s="143" t="str">
        <f>IF(Table11[[#This Row],[Date]]=0,"",IF(Table11[[#This Row],[Date]]&lt;(Summary!$B$3-6),1,""))</f>
        <v/>
      </c>
      <c r="B357" s="127">
        <v>46267</v>
      </c>
      <c r="C357" s="16">
        <v>352</v>
      </c>
      <c r="D357" s="16" t="s">
        <v>350</v>
      </c>
      <c r="E357" s="17">
        <v>1423.71</v>
      </c>
      <c r="F357" s="17">
        <v>1381.73</v>
      </c>
      <c r="G357" s="10" t="str">
        <f>VLOOKUP(Table11[[#This Row],[Store]],'Rates from Tracker'!A:B,2,0)</f>
        <v>Georgetown</v>
      </c>
      <c r="H357" t="str">
        <f>VLOOKUP(D357,'Rates from Tracker'!A:C,3,0)</f>
        <v>Cool Dough Development, LLC</v>
      </c>
      <c r="I357" t="str">
        <f>VLOOKUP(Table11[[#This Row],[Franchisee]],'Rates from Tracker'!C:D,2,0)</f>
        <v>Denning</v>
      </c>
      <c r="J357" s="10">
        <f>ROUND(IF(Table11[[#This Row],[Location]]="Belmont Market",Table11[[#This Row],[Column2]]*0.01,IF(Table11[[#This Row],[Location]]="Country Club Centre",Table11[[#This Row],[Column2]]*0.01,IF(Table11[[#This Row],[Location]]="Naval Air Station Norfolk",Table11[[#This Row],[Column2]]*0.005,F357*0.02))),2)</f>
        <v>27.63</v>
      </c>
      <c r="K35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57" s="11">
        <f t="shared" si="12"/>
        <v>69.09</v>
      </c>
      <c r="M357" s="10">
        <f t="shared" si="13"/>
        <v>96.72</v>
      </c>
    </row>
    <row r="358" spans="1:13" x14ac:dyDescent="0.25">
      <c r="A358" s="143" t="str">
        <f>IF(Table11[[#This Row],[Date]]=0,"",IF(Table11[[#This Row],[Date]]&lt;(Summary!$B$3-6),1,""))</f>
        <v/>
      </c>
      <c r="B358" s="127">
        <v>46267</v>
      </c>
      <c r="C358" s="16">
        <v>366</v>
      </c>
      <c r="D358" s="16" t="s">
        <v>585</v>
      </c>
      <c r="E358" s="17">
        <v>2373.2600000000002</v>
      </c>
      <c r="F358" s="17">
        <v>2326.3000000000002</v>
      </c>
      <c r="G358" s="10" t="str">
        <f>VLOOKUP(Table11[[#This Row],[Store]],'Rates from Tracker'!A:B,2,0)</f>
        <v>Saratoga Springs</v>
      </c>
      <c r="H358" t="str">
        <f>VLOOKUP(D358,'Rates from Tracker'!A:C,3,0)</f>
        <v>SSR Holdings LLC</v>
      </c>
      <c r="I358" t="str">
        <f>VLOOKUP(Table11[[#This Row],[Franchisee]],'Rates from Tracker'!C:D,2,0)</f>
        <v>Bikram</v>
      </c>
      <c r="J358" s="10">
        <f>ROUND(IF(Table11[[#This Row],[Location]]="Belmont Market",Table11[[#This Row],[Column2]]*0.01,IF(Table11[[#This Row],[Location]]="Country Club Centre",Table11[[#This Row],[Column2]]*0.01,IF(Table11[[#This Row],[Location]]="Naval Air Station Norfolk",Table11[[#This Row],[Column2]]*0.005,F358*0.02))),2)</f>
        <v>46.53</v>
      </c>
      <c r="K35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58" s="11">
        <f t="shared" si="12"/>
        <v>23.26</v>
      </c>
      <c r="M358" s="10">
        <f t="shared" si="13"/>
        <v>69.790000000000006</v>
      </c>
    </row>
    <row r="359" spans="1:13" x14ac:dyDescent="0.25">
      <c r="A359" s="143" t="str">
        <f>IF(Table11[[#This Row],[Date]]=0,"",IF(Table11[[#This Row],[Date]]&lt;(Summary!$B$3-6),1,""))</f>
        <v/>
      </c>
      <c r="B359" s="127">
        <v>46267</v>
      </c>
      <c r="C359" s="16">
        <v>384</v>
      </c>
      <c r="D359" s="16" t="s">
        <v>339</v>
      </c>
      <c r="E359" s="17">
        <v>3127.55</v>
      </c>
      <c r="F359" s="17">
        <v>3043.14</v>
      </c>
      <c r="G359" s="10" t="str">
        <f>VLOOKUP(Table11[[#This Row],[Store]],'Rates from Tracker'!A:B,2,0)</f>
        <v>Ralston Creek</v>
      </c>
      <c r="H359" t="str">
        <f>VLOOKUP(D359,'Rates from Tracker'!A:C,3,0)</f>
        <v>Best Pizza LLC</v>
      </c>
      <c r="I359" t="str">
        <f>VLOOKUP(Table11[[#This Row],[Franchisee]],'Rates from Tracker'!C:D,2,0)</f>
        <v>Merullo</v>
      </c>
      <c r="J359" s="10">
        <f>ROUND(IF(Table11[[#This Row],[Location]]="Belmont Market",Table11[[#This Row],[Column2]]*0.01,IF(Table11[[#This Row],[Location]]="Country Club Centre",Table11[[#This Row],[Column2]]*0.01,IF(Table11[[#This Row],[Location]]="Naval Air Station Norfolk",Table11[[#This Row],[Column2]]*0.005,F359*0.02))),2)</f>
        <v>60.86</v>
      </c>
      <c r="K35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59" s="11">
        <f t="shared" si="12"/>
        <v>152.16</v>
      </c>
      <c r="M359" s="10">
        <f t="shared" si="13"/>
        <v>213.01999999999998</v>
      </c>
    </row>
    <row r="360" spans="1:13" x14ac:dyDescent="0.25">
      <c r="A360" s="143" t="str">
        <f>IF(Table11[[#This Row],[Date]]=0,"",IF(Table11[[#This Row],[Date]]&lt;(Summary!$B$3-6),1,""))</f>
        <v/>
      </c>
      <c r="B360" s="127">
        <v>46267</v>
      </c>
      <c r="C360" s="16">
        <v>413</v>
      </c>
      <c r="D360" s="16" t="s">
        <v>322</v>
      </c>
      <c r="E360" s="17">
        <v>1360.3</v>
      </c>
      <c r="F360" s="17">
        <v>1348.58</v>
      </c>
      <c r="G360" s="10" t="str">
        <f>VLOOKUP(Table11[[#This Row],[Store]],'Rates from Tracker'!A:B,2,0)</f>
        <v>Madison</v>
      </c>
      <c r="H360" t="str">
        <f>VLOOKUP(D360,'Rates from Tracker'!A:C,3,0)</f>
        <v>APizza Delight Inc</v>
      </c>
      <c r="I360" t="str">
        <f>VLOOKUP(Table11[[#This Row],[Franchisee]],'Rates from Tracker'!C:D,2,0)</f>
        <v>Patel</v>
      </c>
      <c r="J360" s="10">
        <f>ROUND(IF(Table11[[#This Row],[Location]]="Belmont Market",Table11[[#This Row],[Column2]]*0.01,IF(Table11[[#This Row],[Location]]="Country Club Centre",Table11[[#This Row],[Column2]]*0.01,IF(Table11[[#This Row],[Location]]="Naval Air Station Norfolk",Table11[[#This Row],[Column2]]*0.005,F360*0.02))),2)</f>
        <v>26.97</v>
      </c>
      <c r="K36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60" s="11">
        <f t="shared" si="12"/>
        <v>13.49</v>
      </c>
      <c r="M360" s="10">
        <f t="shared" si="13"/>
        <v>40.46</v>
      </c>
    </row>
    <row r="361" spans="1:13" x14ac:dyDescent="0.25">
      <c r="A361" s="143" t="str">
        <f>IF(Table11[[#This Row],[Date]]=0,"",IF(Table11[[#This Row],[Date]]&lt;(Summary!$B$3-6),1,""))</f>
        <v/>
      </c>
      <c r="B361" s="127">
        <v>46267</v>
      </c>
      <c r="C361" s="16">
        <v>421</v>
      </c>
      <c r="D361" s="16" t="s">
        <v>575</v>
      </c>
      <c r="E361" s="17">
        <v>1888.38</v>
      </c>
      <c r="F361" s="17">
        <v>1820.56</v>
      </c>
      <c r="G361" s="10" t="str">
        <f>VLOOKUP(Table11[[#This Row],[Store]],'Rates from Tracker'!A:B,2,0)</f>
        <v>Fort Union</v>
      </c>
      <c r="H361" t="str">
        <f>VLOOKUP(D361,'Rates from Tracker'!A:C,3,0)</f>
        <v>SSR Holdings LLC</v>
      </c>
      <c r="I361" t="str">
        <f>VLOOKUP(Table11[[#This Row],[Franchisee]],'Rates from Tracker'!C:D,2,0)</f>
        <v>Bikram</v>
      </c>
      <c r="J361" s="10">
        <f>ROUND(IF(Table11[[#This Row],[Location]]="Belmont Market",Table11[[#This Row],[Column2]]*0.01,IF(Table11[[#This Row],[Location]]="Country Club Centre",Table11[[#This Row],[Column2]]*0.01,IF(Table11[[#This Row],[Location]]="Naval Air Station Norfolk",Table11[[#This Row],[Column2]]*0.005,F361*0.02))),2)</f>
        <v>36.409999999999997</v>
      </c>
      <c r="K36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61" s="11">
        <f t="shared" si="12"/>
        <v>18.21</v>
      </c>
      <c r="M361" s="10">
        <f t="shared" si="13"/>
        <v>54.62</v>
      </c>
    </row>
    <row r="362" spans="1:13" x14ac:dyDescent="0.25">
      <c r="A362" s="143" t="str">
        <f>IF(Table11[[#This Row],[Date]]=0,"",IF(Table11[[#This Row],[Date]]&lt;(Summary!$B$3-6),1,""))</f>
        <v/>
      </c>
      <c r="B362" s="127">
        <v>46267</v>
      </c>
      <c r="C362" s="16">
        <v>425</v>
      </c>
      <c r="D362" s="16" t="s">
        <v>381</v>
      </c>
      <c r="E362" s="17">
        <v>3056.07</v>
      </c>
      <c r="F362" s="17">
        <v>3015.35</v>
      </c>
      <c r="G362" s="10" t="str">
        <f>VLOOKUP(Table11[[#This Row],[Store]],'Rates from Tracker'!A:B,2,0)</f>
        <v>Crown Point</v>
      </c>
      <c r="H362" t="str">
        <f>VLOOKUP(D362,'Rates from Tracker'!A:C,3,0)</f>
        <v>Best Pizza LLC</v>
      </c>
      <c r="I362" t="str">
        <f>VLOOKUP(Table11[[#This Row],[Franchisee]],'Rates from Tracker'!C:D,2,0)</f>
        <v>Merullo</v>
      </c>
      <c r="J362" s="10">
        <f>ROUND(IF(Table11[[#This Row],[Location]]="Belmont Market",Table11[[#This Row],[Column2]]*0.01,IF(Table11[[#This Row],[Location]]="Country Club Centre",Table11[[#This Row],[Column2]]*0.01,IF(Table11[[#This Row],[Location]]="Naval Air Station Norfolk",Table11[[#This Row],[Column2]]*0.005,F362*0.02))),2)</f>
        <v>60.31</v>
      </c>
      <c r="K36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62" s="11">
        <f t="shared" si="12"/>
        <v>150.77000000000001</v>
      </c>
      <c r="M362" s="10">
        <f t="shared" si="13"/>
        <v>211.08</v>
      </c>
    </row>
    <row r="363" spans="1:13" x14ac:dyDescent="0.25">
      <c r="A363" s="143" t="str">
        <f>IF(Table11[[#This Row],[Date]]=0,"",IF(Table11[[#This Row],[Date]]&lt;(Summary!$B$3-6),1,""))</f>
        <v/>
      </c>
      <c r="B363" s="127">
        <v>46267</v>
      </c>
      <c r="C363" s="16">
        <v>429</v>
      </c>
      <c r="D363" s="16" t="s">
        <v>587</v>
      </c>
      <c r="E363" s="17">
        <v>1772.25</v>
      </c>
      <c r="F363" s="17">
        <v>1716.64</v>
      </c>
      <c r="G363" s="10" t="str">
        <f>VLOOKUP(Table11[[#This Row],[Store]],'Rates from Tracker'!A:B,2,0)</f>
        <v>South Jordan</v>
      </c>
      <c r="H363" t="str">
        <f>VLOOKUP(D363,'Rates from Tracker'!A:C,3,0)</f>
        <v>SSR Holdings LLC</v>
      </c>
      <c r="I363" t="str">
        <f>VLOOKUP(Table11[[#This Row],[Franchisee]],'Rates from Tracker'!C:D,2,0)</f>
        <v>Bikram</v>
      </c>
      <c r="J363" s="10">
        <f>ROUND(IF(Table11[[#This Row],[Location]]="Belmont Market",Table11[[#This Row],[Column2]]*0.01,IF(Table11[[#This Row],[Location]]="Country Club Centre",Table11[[#This Row],[Column2]]*0.01,IF(Table11[[#This Row],[Location]]="Naval Air Station Norfolk",Table11[[#This Row],[Column2]]*0.005,F363*0.02))),2)</f>
        <v>34.33</v>
      </c>
      <c r="K36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63" s="11">
        <f t="shared" si="12"/>
        <v>17.170000000000002</v>
      </c>
      <c r="M363" s="10">
        <f t="shared" si="13"/>
        <v>51.5</v>
      </c>
    </row>
    <row r="364" spans="1:13" x14ac:dyDescent="0.25">
      <c r="A364" s="143" t="str">
        <f>IF(Table11[[#This Row],[Date]]=0,"",IF(Table11[[#This Row],[Date]]&lt;(Summary!$B$3-6),1,""))</f>
        <v/>
      </c>
      <c r="B364" s="127">
        <v>46267</v>
      </c>
      <c r="C364" s="16">
        <v>433</v>
      </c>
      <c r="D364" s="16" t="s">
        <v>576</v>
      </c>
      <c r="E364" s="17">
        <v>2385.37</v>
      </c>
      <c r="F364" s="17">
        <v>2337.1999999999998</v>
      </c>
      <c r="G364" s="10" t="str">
        <f>VLOOKUP(Table11[[#This Row],[Store]],'Rates from Tracker'!A:B,2,0)</f>
        <v>Grants Pass</v>
      </c>
      <c r="H364" t="str">
        <f>VLOOKUP(D364,'Rates from Tracker'!A:C,3,0)</f>
        <v>SSR Holdings LLC</v>
      </c>
      <c r="I364" t="str">
        <f>VLOOKUP(Table11[[#This Row],[Franchisee]],'Rates from Tracker'!C:D,2,0)</f>
        <v>Bikram</v>
      </c>
      <c r="J364" s="10">
        <f>ROUND(IF(Table11[[#This Row],[Location]]="Belmont Market",Table11[[#This Row],[Column2]]*0.01,IF(Table11[[#This Row],[Location]]="Country Club Centre",Table11[[#This Row],[Column2]]*0.01,IF(Table11[[#This Row],[Location]]="Naval Air Station Norfolk",Table11[[#This Row],[Column2]]*0.005,F364*0.02))),2)</f>
        <v>46.74</v>
      </c>
      <c r="K36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64" s="11">
        <f t="shared" si="12"/>
        <v>23.37</v>
      </c>
      <c r="M364" s="10">
        <f t="shared" si="13"/>
        <v>70.11</v>
      </c>
    </row>
    <row r="365" spans="1:13" x14ac:dyDescent="0.25">
      <c r="A365" s="143" t="str">
        <f>IF(Table11[[#This Row],[Date]]=0,"",IF(Table11[[#This Row],[Date]]&lt;(Summary!$B$3-6),1,""))</f>
        <v/>
      </c>
      <c r="B365" s="127">
        <v>46267</v>
      </c>
      <c r="C365" s="16">
        <v>452</v>
      </c>
      <c r="D365" s="16" t="s">
        <v>346</v>
      </c>
      <c r="E365" s="17">
        <v>2069.56</v>
      </c>
      <c r="F365" s="17">
        <v>2050.91</v>
      </c>
      <c r="G365" s="10" t="str">
        <f>VLOOKUP(Table11[[#This Row],[Store]],'Rates from Tracker'!A:B,2,0)</f>
        <v>Mobile</v>
      </c>
      <c r="H365" t="str">
        <f>VLOOKUP(D365,'Rates from Tracker'!A:C,3,0)</f>
        <v>MAA MELDI 3980 Inc</v>
      </c>
      <c r="I365" t="str">
        <f>VLOOKUP(Table11[[#This Row],[Franchisee]],'Rates from Tracker'!C:D,2,0)</f>
        <v>Neal Patel</v>
      </c>
      <c r="J365" s="10">
        <f>ROUND(IF(Table11[[#This Row],[Location]]="Belmont Market",Table11[[#This Row],[Column2]]*0.01,IF(Table11[[#This Row],[Location]]="Country Club Centre",Table11[[#This Row],[Column2]]*0.01,IF(Table11[[#This Row],[Location]]="Naval Air Station Norfolk",Table11[[#This Row],[Column2]]*0.005,F365*0.02))),2)</f>
        <v>41.02</v>
      </c>
      <c r="K36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65" s="11">
        <f t="shared" si="12"/>
        <v>20.51</v>
      </c>
      <c r="M365" s="10">
        <f t="shared" si="13"/>
        <v>61.53</v>
      </c>
    </row>
    <row r="366" spans="1:13" x14ac:dyDescent="0.25">
      <c r="A366" s="143" t="str">
        <f>IF(Table11[[#This Row],[Date]]=0,"",IF(Table11[[#This Row],[Date]]&lt;(Summary!$B$3-6),1,""))</f>
        <v/>
      </c>
      <c r="B366" s="127">
        <v>46267</v>
      </c>
      <c r="C366" s="16">
        <v>478</v>
      </c>
      <c r="D366" s="16" t="s">
        <v>581</v>
      </c>
      <c r="E366" s="17">
        <v>1351.22</v>
      </c>
      <c r="F366" s="17">
        <v>1254.4000000000001</v>
      </c>
      <c r="G366" s="10" t="str">
        <f>VLOOKUP(Table11[[#This Row],[Store]],'Rates from Tracker'!A:B,2,0)</f>
        <v>Pocatello</v>
      </c>
      <c r="H366" t="str">
        <f>VLOOKUP(D366,'Rates from Tracker'!A:C,3,0)</f>
        <v>SSR Holdings LLC</v>
      </c>
      <c r="I366" t="str">
        <f>VLOOKUP(Table11[[#This Row],[Franchisee]],'Rates from Tracker'!C:D,2,0)</f>
        <v>Bikram</v>
      </c>
      <c r="J366" s="10">
        <f>ROUND(IF(Table11[[#This Row],[Location]]="Belmont Market",Table11[[#This Row],[Column2]]*0.01,IF(Table11[[#This Row],[Location]]="Country Club Centre",Table11[[#This Row],[Column2]]*0.01,IF(Table11[[#This Row],[Location]]="Naval Air Station Norfolk",Table11[[#This Row],[Column2]]*0.005,F366*0.02))),2)</f>
        <v>25.09</v>
      </c>
      <c r="K36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66" s="11">
        <f t="shared" si="12"/>
        <v>12.54</v>
      </c>
      <c r="M366" s="10">
        <f t="shared" si="13"/>
        <v>37.629999999999995</v>
      </c>
    </row>
    <row r="367" spans="1:13" x14ac:dyDescent="0.25">
      <c r="A367" s="143" t="str">
        <f>IF(Table11[[#This Row],[Date]]=0,"",IF(Table11[[#This Row],[Date]]&lt;(Summary!$B$3-6),1,""))</f>
        <v/>
      </c>
      <c r="B367" s="127">
        <v>46267</v>
      </c>
      <c r="C367" s="16">
        <v>514</v>
      </c>
      <c r="D367" s="16" t="s">
        <v>589</v>
      </c>
      <c r="E367" s="17">
        <v>1810.58</v>
      </c>
      <c r="F367" s="17">
        <v>1746.1</v>
      </c>
      <c r="G367" s="10" t="str">
        <f>VLOOKUP(Table11[[#This Row],[Store]],'Rates from Tracker'!A:B,2,0)</f>
        <v>Spanish Fork</v>
      </c>
      <c r="H367" t="str">
        <f>VLOOKUP(D367,'Rates from Tracker'!A:C,3,0)</f>
        <v>SSR Holdings LLC</v>
      </c>
      <c r="I367" t="str">
        <f>VLOOKUP(Table11[[#This Row],[Franchisee]],'Rates from Tracker'!C:D,2,0)</f>
        <v>Bikram</v>
      </c>
      <c r="J367" s="10">
        <f>ROUND(IF(Table11[[#This Row],[Location]]="Belmont Market",Table11[[#This Row],[Column2]]*0.01,IF(Table11[[#This Row],[Location]]="Country Club Centre",Table11[[#This Row],[Column2]]*0.01,IF(Table11[[#This Row],[Location]]="Naval Air Station Norfolk",Table11[[#This Row],[Column2]]*0.005,F367*0.02))),2)</f>
        <v>34.92</v>
      </c>
      <c r="K36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67" s="11">
        <f t="shared" si="12"/>
        <v>17.46</v>
      </c>
      <c r="M367" s="10">
        <f t="shared" si="13"/>
        <v>52.38</v>
      </c>
    </row>
    <row r="368" spans="1:13" x14ac:dyDescent="0.25">
      <c r="A368" s="143" t="str">
        <f>IF(Table11[[#This Row],[Date]]=0,"",IF(Table11[[#This Row],[Date]]&lt;(Summary!$B$3-6),1,""))</f>
        <v/>
      </c>
      <c r="B368" s="127">
        <v>46267</v>
      </c>
      <c r="C368" s="16">
        <v>515</v>
      </c>
      <c r="D368" s="16" t="s">
        <v>574</v>
      </c>
      <c r="E368" s="17">
        <v>1371.28</v>
      </c>
      <c r="F368" s="17">
        <v>1339.68</v>
      </c>
      <c r="G368" s="10" t="str">
        <f>VLOOKUP(Table11[[#This Row],[Store]],'Rates from Tracker'!A:B,2,0)</f>
        <v>Downtown Boise</v>
      </c>
      <c r="H368" t="str">
        <f>VLOOKUP(D368,'Rates from Tracker'!A:C,3,0)</f>
        <v>SSR Holdings LLC</v>
      </c>
      <c r="I368" t="str">
        <f>VLOOKUP(Table11[[#This Row],[Franchisee]],'Rates from Tracker'!C:D,2,0)</f>
        <v>Bikram</v>
      </c>
      <c r="J368" s="10">
        <f>ROUND(IF(Table11[[#This Row],[Location]]="Belmont Market",Table11[[#This Row],[Column2]]*0.01,IF(Table11[[#This Row],[Location]]="Country Club Centre",Table11[[#This Row],[Column2]]*0.01,IF(Table11[[#This Row],[Location]]="Naval Air Station Norfolk",Table11[[#This Row],[Column2]]*0.005,F368*0.02))),2)</f>
        <v>26.79</v>
      </c>
      <c r="K36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68" s="11">
        <f t="shared" si="12"/>
        <v>13.4</v>
      </c>
      <c r="M368" s="10">
        <f t="shared" si="13"/>
        <v>40.19</v>
      </c>
    </row>
    <row r="369" spans="1:13" x14ac:dyDescent="0.25">
      <c r="A369" s="143" t="str">
        <f>IF(Table11[[#This Row],[Date]]=0,"",IF(Table11[[#This Row],[Date]]&lt;(Summary!$B$3-6),1,""))</f>
        <v/>
      </c>
      <c r="B369" s="127">
        <v>46267</v>
      </c>
      <c r="C369" s="16">
        <v>521</v>
      </c>
      <c r="D369" s="16" t="s">
        <v>573</v>
      </c>
      <c r="E369" s="17">
        <v>1671.84</v>
      </c>
      <c r="F369" s="17">
        <v>1647.88</v>
      </c>
      <c r="G369" s="10" t="str">
        <f>VLOOKUP(Table11[[#This Row],[Store]],'Rates from Tracker'!A:B,2,0)</f>
        <v>Boise Town Square</v>
      </c>
      <c r="H369" t="str">
        <f>VLOOKUP(D369,'Rates from Tracker'!A:C,3,0)</f>
        <v>SSR Holdings LLC</v>
      </c>
      <c r="I369" t="str">
        <f>VLOOKUP(Table11[[#This Row],[Franchisee]],'Rates from Tracker'!C:D,2,0)</f>
        <v>Bikram</v>
      </c>
      <c r="J369" s="10">
        <f>ROUND(IF(Table11[[#This Row],[Location]]="Belmont Market",Table11[[#This Row],[Column2]]*0.01,IF(Table11[[#This Row],[Location]]="Country Club Centre",Table11[[#This Row],[Column2]]*0.01,IF(Table11[[#This Row],[Location]]="Naval Air Station Norfolk",Table11[[#This Row],[Column2]]*0.005,F369*0.02))),2)</f>
        <v>32.96</v>
      </c>
      <c r="K36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69" s="11">
        <f t="shared" si="12"/>
        <v>16.48</v>
      </c>
      <c r="M369" s="10">
        <f t="shared" si="13"/>
        <v>49.44</v>
      </c>
    </row>
    <row r="370" spans="1:13" x14ac:dyDescent="0.25">
      <c r="A370" s="143" t="str">
        <f>IF(Table11[[#This Row],[Date]]=0,"",IF(Table11[[#This Row],[Date]]&lt;(Summary!$B$3-6),1,""))</f>
        <v/>
      </c>
      <c r="B370" s="127">
        <v>46267</v>
      </c>
      <c r="C370" s="16">
        <v>586</v>
      </c>
      <c r="D370" s="16" t="s">
        <v>453</v>
      </c>
      <c r="E370" s="17">
        <v>2851.67</v>
      </c>
      <c r="F370" s="17">
        <v>2785.98</v>
      </c>
      <c r="G370" s="10" t="str">
        <f>VLOOKUP(Table11[[#This Row],[Store]],'Rates from Tracker'!A:B,2,0)</f>
        <v>Johnstown</v>
      </c>
      <c r="H370" t="str">
        <f>VLOOKUP(D370,'Rates from Tracker'!A:C,3,0)</f>
        <v>Best Pizza LLC</v>
      </c>
      <c r="I370" t="str">
        <f>VLOOKUP(Table11[[#This Row],[Franchisee]],'Rates from Tracker'!C:D,2,0)</f>
        <v>Merullo</v>
      </c>
      <c r="J370" s="10">
        <f>ROUND(IF(Table11[[#This Row],[Location]]="Belmont Market",Table11[[#This Row],[Column2]]*0.01,IF(Table11[[#This Row],[Location]]="Country Club Centre",Table11[[#This Row],[Column2]]*0.01,IF(Table11[[#This Row],[Location]]="Naval Air Station Norfolk",Table11[[#This Row],[Column2]]*0.005,F370*0.02))),2)</f>
        <v>55.72</v>
      </c>
      <c r="K37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70" s="11">
        <f t="shared" si="12"/>
        <v>139.30000000000001</v>
      </c>
      <c r="M370" s="10">
        <f t="shared" si="13"/>
        <v>195.02</v>
      </c>
    </row>
    <row r="371" spans="1:13" x14ac:dyDescent="0.25">
      <c r="A371" s="143" t="str">
        <f>IF(Table11[[#This Row],[Date]]=0,"",IF(Table11[[#This Row],[Date]]&lt;(Summary!$B$3-6),1,""))</f>
        <v/>
      </c>
      <c r="B371" s="127">
        <v>46267</v>
      </c>
      <c r="C371" s="16">
        <v>605</v>
      </c>
      <c r="D371" s="16" t="s">
        <v>501</v>
      </c>
      <c r="E371" s="17">
        <v>2478.5500000000002</v>
      </c>
      <c r="F371" s="17">
        <v>2438.66</v>
      </c>
      <c r="G371" s="10" t="str">
        <f>VLOOKUP(Table11[[#This Row],[Store]],'Rates from Tracker'!A:B,2,0)</f>
        <v>Campus Oaks</v>
      </c>
      <c r="H371" t="str">
        <f>VLOOKUP(D371,'Rates from Tracker'!A:C,3,0)</f>
        <v>Exceed Group Campus Oaks</v>
      </c>
      <c r="I371" t="str">
        <f>VLOOKUP(Table11[[#This Row],[Franchisee]],'Rates from Tracker'!C:D,2,0)</f>
        <v>Chawla</v>
      </c>
      <c r="J371" s="10">
        <f>ROUND(IF(Table11[[#This Row],[Location]]="Belmont Market",Table11[[#This Row],[Column2]]*0.01,IF(Table11[[#This Row],[Location]]="Country Club Centre",Table11[[#This Row],[Column2]]*0.01,IF(Table11[[#This Row],[Location]]="Naval Air Station Norfolk",Table11[[#This Row],[Column2]]*0.005,F371*0.02))),2)</f>
        <v>48.77</v>
      </c>
      <c r="K37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71" s="11">
        <f t="shared" si="12"/>
        <v>121.93</v>
      </c>
      <c r="M371" s="10">
        <f t="shared" si="13"/>
        <v>170.70000000000002</v>
      </c>
    </row>
    <row r="372" spans="1:13" x14ac:dyDescent="0.25">
      <c r="A372" s="143" t="str">
        <f>IF(Table11[[#This Row],[Date]]=0,"",IF(Table11[[#This Row],[Date]]&lt;(Summary!$B$3-6),1,""))</f>
        <v/>
      </c>
      <c r="B372" s="127">
        <v>46267</v>
      </c>
      <c r="C372" s="16">
        <v>607</v>
      </c>
      <c r="D372" s="16" t="s">
        <v>481</v>
      </c>
      <c r="E372" s="17">
        <v>3680.16</v>
      </c>
      <c r="F372" s="17">
        <v>3594.95</v>
      </c>
      <c r="G372" s="10" t="str">
        <f>VLOOKUP(Table11[[#This Row],[Store]],'Rates from Tracker'!A:B,2,0)</f>
        <v>Tower</v>
      </c>
      <c r="H372" t="str">
        <f>VLOOKUP(D372,'Rates from Tracker'!A:C,3,0)</f>
        <v>Best Pizza LLC</v>
      </c>
      <c r="I372" t="str">
        <f>VLOOKUP(Table11[[#This Row],[Franchisee]],'Rates from Tracker'!C:D,2,0)</f>
        <v>Merullo</v>
      </c>
      <c r="J372" s="10">
        <f>ROUND(IF(Table11[[#This Row],[Location]]="Belmont Market",Table11[[#This Row],[Column2]]*0.01,IF(Table11[[#This Row],[Location]]="Country Club Centre",Table11[[#This Row],[Column2]]*0.01,IF(Table11[[#This Row],[Location]]="Naval Air Station Norfolk",Table11[[#This Row],[Column2]]*0.005,F372*0.02))),2)</f>
        <v>71.900000000000006</v>
      </c>
      <c r="K37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72" s="11">
        <f t="shared" si="12"/>
        <v>179.75</v>
      </c>
      <c r="M372" s="10">
        <f t="shared" si="13"/>
        <v>251.65</v>
      </c>
    </row>
    <row r="373" spans="1:13" x14ac:dyDescent="0.25">
      <c r="A373" s="143" t="str">
        <f>IF(Table11[[#This Row],[Date]]=0,"",IF(Table11[[#This Row],[Date]]&lt;(Summary!$B$3-6),1,""))</f>
        <v/>
      </c>
      <c r="B373" s="127">
        <v>46267</v>
      </c>
      <c r="C373" s="16">
        <v>608</v>
      </c>
      <c r="D373" s="16" t="s">
        <v>488</v>
      </c>
      <c r="E373" s="17">
        <v>2721.39</v>
      </c>
      <c r="F373" s="17">
        <v>2659.48</v>
      </c>
      <c r="G373" s="10" t="str">
        <f>VLOOKUP(Table11[[#This Row],[Store]],'Rates from Tracker'!A:B,2,0)</f>
        <v>Sheridan Parkway</v>
      </c>
      <c r="H373" t="str">
        <f>VLOOKUP(D373,'Rates from Tracker'!A:C,3,0)</f>
        <v>Best Pizza LLC</v>
      </c>
      <c r="I373" t="str">
        <f>VLOOKUP(Table11[[#This Row],[Franchisee]],'Rates from Tracker'!C:D,2,0)</f>
        <v>Merullo</v>
      </c>
      <c r="J373" s="10">
        <f>ROUND(IF(Table11[[#This Row],[Location]]="Belmont Market",Table11[[#This Row],[Column2]]*0.01,IF(Table11[[#This Row],[Location]]="Country Club Centre",Table11[[#This Row],[Column2]]*0.01,IF(Table11[[#This Row],[Location]]="Naval Air Station Norfolk",Table11[[#This Row],[Column2]]*0.005,F373*0.02))),2)</f>
        <v>53.19</v>
      </c>
      <c r="K37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73" s="11">
        <f t="shared" si="12"/>
        <v>132.97</v>
      </c>
      <c r="M373" s="10">
        <f t="shared" si="13"/>
        <v>186.16</v>
      </c>
    </row>
    <row r="374" spans="1:13" x14ac:dyDescent="0.25">
      <c r="A374" s="143" t="str">
        <f>IF(Table11[[#This Row],[Date]]=0,"",IF(Table11[[#This Row],[Date]]&lt;(Summary!$B$3-6),1,""))</f>
        <v/>
      </c>
      <c r="B374" s="127">
        <v>46267</v>
      </c>
      <c r="C374" s="16">
        <v>616</v>
      </c>
      <c r="D374" s="16" t="s">
        <v>480</v>
      </c>
      <c r="E374" s="17">
        <v>1968.95</v>
      </c>
      <c r="F374" s="17">
        <v>1934.43</v>
      </c>
      <c r="G374" s="10" t="str">
        <f>VLOOKUP(Table11[[#This Row],[Store]],'Rates from Tracker'!A:B,2,0)</f>
        <v>Eureka</v>
      </c>
      <c r="H374" t="str">
        <f>VLOOKUP(D374,'Rates from Tracker'!A:C,3,0)</f>
        <v>Exceed Group Eureka</v>
      </c>
      <c r="I374" t="str">
        <f>VLOOKUP(Table11[[#This Row],[Franchisee]],'Rates from Tracker'!C:D,2,0)</f>
        <v>Chawla</v>
      </c>
      <c r="J374" s="10">
        <f>ROUND(IF(Table11[[#This Row],[Location]]="Belmont Market",Table11[[#This Row],[Column2]]*0.01,IF(Table11[[#This Row],[Location]]="Country Club Centre",Table11[[#This Row],[Column2]]*0.01,IF(Table11[[#This Row],[Location]]="Naval Air Station Norfolk",Table11[[#This Row],[Column2]]*0.005,F374*0.02))),2)</f>
        <v>38.69</v>
      </c>
      <c r="K37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74" s="11">
        <f t="shared" si="12"/>
        <v>96.72</v>
      </c>
      <c r="M374" s="10">
        <f t="shared" si="13"/>
        <v>135.41</v>
      </c>
    </row>
    <row r="375" spans="1:13" x14ac:dyDescent="0.25">
      <c r="A375" s="143" t="str">
        <f>IF(Table11[[#This Row],[Date]]=0,"",IF(Table11[[#This Row],[Date]]&lt;(Summary!$B$3-6),1,""))</f>
        <v/>
      </c>
      <c r="B375" s="127">
        <v>46267</v>
      </c>
      <c r="C375" s="16">
        <v>617</v>
      </c>
      <c r="D375" s="16" t="s">
        <v>494</v>
      </c>
      <c r="E375" s="17">
        <v>2975.35</v>
      </c>
      <c r="F375" s="17">
        <v>2904.57</v>
      </c>
      <c r="G375" s="10" t="str">
        <f>VLOOKUP(Table11[[#This Row],[Store]],'Rates from Tracker'!A:B,2,0)</f>
        <v>Lowry</v>
      </c>
      <c r="H375" t="str">
        <f>VLOOKUP(D375,'Rates from Tracker'!A:C,3,0)</f>
        <v>Best Pizza LLC</v>
      </c>
      <c r="I375" t="str">
        <f>VLOOKUP(Table11[[#This Row],[Franchisee]],'Rates from Tracker'!C:D,2,0)</f>
        <v>Merullo</v>
      </c>
      <c r="J375" s="10">
        <f>ROUND(IF(Table11[[#This Row],[Location]]="Belmont Market",Table11[[#This Row],[Column2]]*0.01,IF(Table11[[#This Row],[Location]]="Country Club Centre",Table11[[#This Row],[Column2]]*0.01,IF(Table11[[#This Row],[Location]]="Naval Air Station Norfolk",Table11[[#This Row],[Column2]]*0.005,F375*0.02))),2)</f>
        <v>58.09</v>
      </c>
      <c r="K37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75" s="11">
        <f t="shared" si="12"/>
        <v>145.22999999999999</v>
      </c>
      <c r="M375" s="10">
        <f t="shared" si="13"/>
        <v>203.32</v>
      </c>
    </row>
    <row r="376" spans="1:13" x14ac:dyDescent="0.25">
      <c r="A376" s="143" t="str">
        <f>IF(Table11[[#This Row],[Date]]=0,"",IF(Table11[[#This Row],[Date]]&lt;(Summary!$B$3-6),1,""))</f>
        <v/>
      </c>
      <c r="B376" s="127">
        <v>46267</v>
      </c>
      <c r="C376" s="16">
        <v>648</v>
      </c>
      <c r="D376" s="16" t="s">
        <v>454</v>
      </c>
      <c r="E376" s="17">
        <v>2255.4899999999998</v>
      </c>
      <c r="F376" s="17">
        <v>2160.8200000000002</v>
      </c>
      <c r="G376" s="10" t="str">
        <f>VLOOKUP(Table11[[#This Row],[Store]],'Rates from Tracker'!A:B,2,0)</f>
        <v>Belmont Market</v>
      </c>
      <c r="H376" t="str">
        <f>VLOOKUP(D376,'Rates from Tracker'!A:C,3,0)</f>
        <v>V.I. Pizza Belmont</v>
      </c>
      <c r="I376" t="str">
        <f>VLOOKUP(Table11[[#This Row],[Franchisee]],'Rates from Tracker'!C:D,2,0)</f>
        <v>Hayden</v>
      </c>
      <c r="J376" s="10">
        <f>ROUND(IF(Table11[[#This Row],[Location]]="Belmont Market",Table11[[#This Row],[Column2]]*0.01,IF(Table11[[#This Row],[Location]]="Country Club Centre",Table11[[#This Row],[Column2]]*0.01,IF(Table11[[#This Row],[Location]]="Naval Air Station Norfolk",Table11[[#This Row],[Column2]]*0.005,F376*0.02))),2)</f>
        <v>21.61</v>
      </c>
      <c r="K37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376" s="11">
        <f t="shared" si="12"/>
        <v>43.22</v>
      </c>
      <c r="M376" s="10">
        <f t="shared" si="13"/>
        <v>64.83</v>
      </c>
    </row>
    <row r="377" spans="1:13" x14ac:dyDescent="0.25">
      <c r="A377" s="143" t="str">
        <f>IF(Table11[[#This Row],[Date]]=0,"",IF(Table11[[#This Row],[Date]]&lt;(Summary!$B$3-6),1,""))</f>
        <v/>
      </c>
      <c r="B377" s="127">
        <v>46267</v>
      </c>
      <c r="C377" s="16">
        <v>659</v>
      </c>
      <c r="D377" s="16" t="s">
        <v>570</v>
      </c>
      <c r="E377" s="17">
        <v>1325.96</v>
      </c>
      <c r="F377" s="17">
        <v>1321.97</v>
      </c>
      <c r="G377" s="10" t="str">
        <f>VLOOKUP(Table11[[#This Row],[Store]],'Rates from Tracker'!A:B,2,0)</f>
        <v>Ammon</v>
      </c>
      <c r="H377" t="str">
        <f>VLOOKUP(D377,'Rates from Tracker'!A:C,3,0)</f>
        <v>SSR Holdings LLC</v>
      </c>
      <c r="I377" t="str">
        <f>VLOOKUP(Table11[[#This Row],[Franchisee]],'Rates from Tracker'!C:D,2,0)</f>
        <v>Bikram</v>
      </c>
      <c r="J377" s="10">
        <f>ROUND(IF(Table11[[#This Row],[Location]]="Belmont Market",Table11[[#This Row],[Column2]]*0.01,IF(Table11[[#This Row],[Location]]="Country Club Centre",Table11[[#This Row],[Column2]]*0.01,IF(Table11[[#This Row],[Location]]="Naval Air Station Norfolk",Table11[[#This Row],[Column2]]*0.005,F377*0.02))),2)</f>
        <v>26.44</v>
      </c>
      <c r="K37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77" s="11">
        <f t="shared" si="12"/>
        <v>13.22</v>
      </c>
      <c r="M377" s="10">
        <f t="shared" si="13"/>
        <v>39.660000000000004</v>
      </c>
    </row>
    <row r="378" spans="1:13" x14ac:dyDescent="0.25">
      <c r="A378" s="143" t="str">
        <f>IF(Table11[[#This Row],[Date]]=0,"",IF(Table11[[#This Row],[Date]]&lt;(Summary!$B$3-6),1,""))</f>
        <v/>
      </c>
      <c r="B378" s="127">
        <v>46267</v>
      </c>
      <c r="C378" s="16">
        <v>699</v>
      </c>
      <c r="D378" s="16" t="s">
        <v>521</v>
      </c>
      <c r="E378" s="17">
        <v>2010.06</v>
      </c>
      <c r="F378" s="17">
        <v>1934.72</v>
      </c>
      <c r="G378" s="10" t="str">
        <f>VLOOKUP(Table11[[#This Row],[Store]],'Rates from Tracker'!A:B,2,0)</f>
        <v>Grand Junction</v>
      </c>
      <c r="H378" t="str">
        <f>VLOOKUP(D378,'Rates from Tracker'!A:C,3,0)</f>
        <v>Best Pizza LLC</v>
      </c>
      <c r="I378" t="str">
        <f>VLOOKUP(Table11[[#This Row],[Franchisee]],'Rates from Tracker'!C:D,2,0)</f>
        <v>Merullo</v>
      </c>
      <c r="J378" s="10">
        <f>ROUND(IF(Table11[[#This Row],[Location]]="Belmont Market",Table11[[#This Row],[Column2]]*0.01,IF(Table11[[#This Row],[Location]]="Country Club Centre",Table11[[#This Row],[Column2]]*0.01,IF(Table11[[#This Row],[Location]]="Naval Air Station Norfolk",Table11[[#This Row],[Column2]]*0.005,F378*0.02))),2)</f>
        <v>38.69</v>
      </c>
      <c r="K37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78" s="11">
        <f t="shared" si="12"/>
        <v>96.74</v>
      </c>
      <c r="M378" s="10">
        <f t="shared" si="13"/>
        <v>135.43</v>
      </c>
    </row>
    <row r="379" spans="1:13" x14ac:dyDescent="0.25">
      <c r="A379" s="143" t="str">
        <f>IF(Table11[[#This Row],[Date]]=0,"",IF(Table11[[#This Row],[Date]]&lt;(Summary!$B$3-6),1,""))</f>
        <v/>
      </c>
      <c r="B379" s="127">
        <v>46267</v>
      </c>
      <c r="C379" s="16">
        <v>711</v>
      </c>
      <c r="D379" s="16" t="s">
        <v>526</v>
      </c>
      <c r="E379" s="17">
        <v>819.11</v>
      </c>
      <c r="F379" s="17">
        <v>741.97</v>
      </c>
      <c r="G379" s="10" t="str">
        <f>VLOOKUP(Table11[[#This Row],[Store]],'Rates from Tracker'!A:B,2,0)</f>
        <v>Country Club Centre</v>
      </c>
      <c r="H379" t="str">
        <f>VLOOKUP(D379,'Rates from Tracker'!A:C,3,0)</f>
        <v>V.I. Pizza Country Club</v>
      </c>
      <c r="I379" t="str">
        <f>VLOOKUP(Table11[[#This Row],[Franchisee]],'Rates from Tracker'!C:D,2,0)</f>
        <v>Hayden</v>
      </c>
      <c r="J379" s="10">
        <f>ROUND(IF(Table11[[#This Row],[Location]]="Belmont Market",Table11[[#This Row],[Column2]]*0.01,IF(Table11[[#This Row],[Location]]="Country Club Centre",Table11[[#This Row],[Column2]]*0.01,IF(Table11[[#This Row],[Location]]="Naval Air Station Norfolk",Table11[[#This Row],[Column2]]*0.005,F379*0.02))),2)</f>
        <v>7.42</v>
      </c>
      <c r="K37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79" s="11">
        <f t="shared" si="12"/>
        <v>7.42</v>
      </c>
      <c r="M379" s="10">
        <f t="shared" si="13"/>
        <v>14.84</v>
      </c>
    </row>
    <row r="380" spans="1:13" x14ac:dyDescent="0.25">
      <c r="A380" s="143" t="str">
        <f>IF(Table11[[#This Row],[Date]]=0,"",IF(Table11[[#This Row],[Date]]&lt;(Summary!$B$3-6),1,""))</f>
        <v/>
      </c>
      <c r="B380" s="127">
        <v>46267</v>
      </c>
      <c r="C380" s="16">
        <v>722</v>
      </c>
      <c r="D380" s="16" t="s">
        <v>535</v>
      </c>
      <c r="E380" s="17">
        <v>2285.4899999999998</v>
      </c>
      <c r="F380" s="17">
        <v>2228.62</v>
      </c>
      <c r="G380" s="10" t="str">
        <f>VLOOKUP(Table11[[#This Row],[Store]],'Rates from Tracker'!A:B,2,0)</f>
        <v>Creekwalk</v>
      </c>
      <c r="H380" t="str">
        <f>VLOOKUP(D380,'Rates from Tracker'!A:C,3,0)</f>
        <v>Best Pizza LLC</v>
      </c>
      <c r="I380" t="str">
        <f>VLOOKUP(Table11[[#This Row],[Franchisee]],'Rates from Tracker'!C:D,2,0)</f>
        <v>Merullo</v>
      </c>
      <c r="J380" s="10">
        <f>ROUND(IF(Table11[[#This Row],[Location]]="Belmont Market",Table11[[#This Row],[Column2]]*0.01,IF(Table11[[#This Row],[Location]]="Country Club Centre",Table11[[#This Row],[Column2]]*0.01,IF(Table11[[#This Row],[Location]]="Naval Air Station Norfolk",Table11[[#This Row],[Column2]]*0.005,F380*0.02))),2)</f>
        <v>44.57</v>
      </c>
      <c r="K38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380" s="11">
        <f t="shared" si="12"/>
        <v>44.57</v>
      </c>
      <c r="M380" s="10">
        <f t="shared" si="13"/>
        <v>89.14</v>
      </c>
    </row>
    <row r="381" spans="1:13" x14ac:dyDescent="0.25">
      <c r="A381" s="143" t="str">
        <f>IF(Table11[[#This Row],[Date]]=0,"",IF(Table11[[#This Row],[Date]]&lt;(Summary!$B$3-6),1,""))</f>
        <v/>
      </c>
      <c r="B381" s="127">
        <v>46267</v>
      </c>
      <c r="C381" s="16">
        <v>731</v>
      </c>
      <c r="D381" s="16" t="s">
        <v>542</v>
      </c>
      <c r="E381" s="17">
        <v>873.69</v>
      </c>
      <c r="F381" s="17">
        <v>868.3</v>
      </c>
      <c r="G381" s="10" t="str">
        <f>VLOOKUP(Table11[[#This Row],[Store]],'Rates from Tracker'!A:B,2,0)</f>
        <v>Naval Air Station Norfolk</v>
      </c>
      <c r="H381" t="str">
        <f>VLOOKUP(D381,'Rates from Tracker'!A:C,3,0)</f>
        <v>IDAD-5 Inc</v>
      </c>
      <c r="I381" t="str">
        <f>VLOOKUP(Table11[[#This Row],[Franchisee]],'Rates from Tracker'!C:D,2,0)</f>
        <v>Ingenito</v>
      </c>
      <c r="J381" s="10">
        <f>ROUND(IF(Table11[[#This Row],[Location]]="Belmont Market",Table11[[#This Row],[Column2]]*0.01,IF(Table11[[#This Row],[Location]]="Country Club Centre",Table11[[#This Row],[Column2]]*0.01,IF(Table11[[#This Row],[Location]]="Naval Air Station Norfolk",Table11[[#This Row],[Column2]]*0.005,F381*0.02))),2)</f>
        <v>4.34</v>
      </c>
      <c r="K38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381" s="11">
        <f t="shared" si="12"/>
        <v>17.37</v>
      </c>
      <c r="M381" s="10">
        <f t="shared" si="13"/>
        <v>21.71</v>
      </c>
    </row>
    <row r="382" spans="1:13" x14ac:dyDescent="0.25">
      <c r="A382" s="143" t="str">
        <f>IF(Table11[[#This Row],[Date]]=0,"",IF(Table11[[#This Row],[Date]]&lt;(Summary!$B$3-6),1,""))</f>
        <v/>
      </c>
      <c r="B382" s="127">
        <v>46267</v>
      </c>
      <c r="C382" s="16">
        <v>761</v>
      </c>
      <c r="D382" s="16" t="s">
        <v>584</v>
      </c>
      <c r="E382" s="17">
        <v>1410.12</v>
      </c>
      <c r="F382" s="17">
        <v>1390.2</v>
      </c>
      <c r="G382" s="10" t="str">
        <f>VLOOKUP(Table11[[#This Row],[Store]],'Rates from Tracker'!A:B,2,0)</f>
        <v>Roseburg</v>
      </c>
      <c r="H382" t="str">
        <f>VLOOKUP(D382,'Rates from Tracker'!A:C,3,0)</f>
        <v>SSR Holdings LLC</v>
      </c>
      <c r="I382" t="str">
        <f>VLOOKUP(Table11[[#This Row],[Franchisee]],'Rates from Tracker'!C:D,2,0)</f>
        <v>Bikram</v>
      </c>
      <c r="J382" s="10">
        <f>ROUND(IF(Table11[[#This Row],[Location]]="Belmont Market",Table11[[#This Row],[Column2]]*0.01,IF(Table11[[#This Row],[Location]]="Country Club Centre",Table11[[#This Row],[Column2]]*0.01,IF(Table11[[#This Row],[Location]]="Naval Air Station Norfolk",Table11[[#This Row],[Column2]]*0.005,F382*0.02))),2)</f>
        <v>27.8</v>
      </c>
      <c r="K38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82" s="11">
        <f t="shared" si="12"/>
        <v>13.9</v>
      </c>
      <c r="M382" s="10">
        <f t="shared" si="13"/>
        <v>41.7</v>
      </c>
    </row>
    <row r="383" spans="1:13" x14ac:dyDescent="0.25">
      <c r="A383" s="143" t="str">
        <f>IF(Table11[[#This Row],[Date]]=0,"",IF(Table11[[#This Row],[Date]]&lt;(Summary!$B$3-6),1,""))</f>
        <v/>
      </c>
      <c r="B383" s="127">
        <v>46267</v>
      </c>
      <c r="C383" s="16">
        <v>777</v>
      </c>
      <c r="D383" s="16" t="s">
        <v>590</v>
      </c>
      <c r="E383" s="17">
        <v>1298.2</v>
      </c>
      <c r="F383" s="17">
        <v>1247.0999999999999</v>
      </c>
      <c r="G383" s="10" t="str">
        <f>VLOOKUP(Table11[[#This Row],[Store]],'Rates from Tracker'!A:B,2,0)</f>
        <v>Springfield-Oregon</v>
      </c>
      <c r="H383" t="str">
        <f>VLOOKUP(D383,'Rates from Tracker'!A:C,3,0)</f>
        <v>SSR Holdings LLC</v>
      </c>
      <c r="I383" t="str">
        <f>VLOOKUP(Table11[[#This Row],[Franchisee]],'Rates from Tracker'!C:D,2,0)</f>
        <v>Bikram</v>
      </c>
      <c r="J383" s="10">
        <f>ROUND(IF(Table11[[#This Row],[Location]]="Belmont Market",Table11[[#This Row],[Column2]]*0.01,IF(Table11[[#This Row],[Location]]="Country Club Centre",Table11[[#This Row],[Column2]]*0.01,IF(Table11[[#This Row],[Location]]="Naval Air Station Norfolk",Table11[[#This Row],[Column2]]*0.005,F383*0.02))),2)</f>
        <v>24.94</v>
      </c>
      <c r="K38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83" s="11">
        <f t="shared" si="12"/>
        <v>12.47</v>
      </c>
      <c r="M383" s="10">
        <f t="shared" si="13"/>
        <v>37.410000000000004</v>
      </c>
    </row>
    <row r="384" spans="1:13" x14ac:dyDescent="0.25">
      <c r="A384" s="143" t="str">
        <f>IF(Table11[[#This Row],[Date]]=0,"",IF(Table11[[#This Row],[Date]]&lt;(Summary!$B$3-6),1,""))</f>
        <v/>
      </c>
      <c r="B384" s="127">
        <v>46267</v>
      </c>
      <c r="C384" s="16">
        <v>820</v>
      </c>
      <c r="D384" s="16" t="s">
        <v>538</v>
      </c>
      <c r="E384" s="17">
        <v>2732.11</v>
      </c>
      <c r="F384" s="17">
        <v>2693.96</v>
      </c>
      <c r="G384" s="10" t="str">
        <f>VLOOKUP(Table11[[#This Row],[Store]],'Rates from Tracker'!A:B,2,0)</f>
        <v>Churn Creek</v>
      </c>
      <c r="H384" t="str">
        <f>VLOOKUP(D384,'Rates from Tracker'!A:C,3,0)</f>
        <v>Exceed Group Churn Creek</v>
      </c>
      <c r="I384" t="str">
        <f>VLOOKUP(Table11[[#This Row],[Franchisee]],'Rates from Tracker'!C:D,2,0)</f>
        <v>Chawla</v>
      </c>
      <c r="J384" s="10">
        <f>ROUND(IF(Table11[[#This Row],[Location]]="Belmont Market",Table11[[#This Row],[Column2]]*0.01,IF(Table11[[#This Row],[Location]]="Country Club Centre",Table11[[#This Row],[Column2]]*0.01,IF(Table11[[#This Row],[Location]]="Naval Air Station Norfolk",Table11[[#This Row],[Column2]]*0.005,F384*0.02))),2)</f>
        <v>53.88</v>
      </c>
      <c r="K38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84" s="11">
        <f t="shared" si="12"/>
        <v>134.69999999999999</v>
      </c>
      <c r="M384" s="10">
        <f t="shared" si="13"/>
        <v>188.57999999999998</v>
      </c>
    </row>
    <row r="385" spans="1:13" x14ac:dyDescent="0.25">
      <c r="A385" s="143" t="str">
        <f>IF(Table11[[#This Row],[Date]]=0,"",IF(Table11[[#This Row],[Date]]&lt;(Summary!$B$3-6),1,""))</f>
        <v/>
      </c>
      <c r="B385" s="127">
        <v>46266</v>
      </c>
      <c r="C385" s="16">
        <v>21</v>
      </c>
      <c r="D385" s="16" t="s">
        <v>29</v>
      </c>
      <c r="E385" s="17">
        <v>2927.36</v>
      </c>
      <c r="F385" s="17">
        <v>2884.4</v>
      </c>
      <c r="G385" s="10" t="str">
        <f>VLOOKUP(Table11[[#This Row],[Store]],'Rates from Tracker'!A:B,2,0)</f>
        <v>Park Meadows</v>
      </c>
      <c r="H385" t="str">
        <f>VLOOKUP(D385,'Rates from Tracker'!A:C,3,0)</f>
        <v>Best Pizza LLC</v>
      </c>
      <c r="I385" t="str">
        <f>VLOOKUP(Table11[[#This Row],[Franchisee]],'Rates from Tracker'!C:D,2,0)</f>
        <v>Merullo</v>
      </c>
      <c r="J385" s="10">
        <f>ROUND(IF(Table11[[#This Row],[Location]]="Belmont Market",Table11[[#This Row],[Column2]]*0.01,IF(Table11[[#This Row],[Location]]="Country Club Centre",Table11[[#This Row],[Column2]]*0.01,IF(Table11[[#This Row],[Location]]="Naval Air Station Norfolk",Table11[[#This Row],[Column2]]*0.005,F385*0.02))),2)</f>
        <v>57.69</v>
      </c>
      <c r="K38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85" s="11">
        <f t="shared" si="12"/>
        <v>144.22</v>
      </c>
      <c r="M385" s="10">
        <f t="shared" si="13"/>
        <v>201.91</v>
      </c>
    </row>
    <row r="386" spans="1:13" x14ac:dyDescent="0.25">
      <c r="A386" s="143" t="str">
        <f>IF(Table11[[#This Row],[Date]]=0,"",IF(Table11[[#This Row],[Date]]&lt;(Summary!$B$3-6),1,""))</f>
        <v/>
      </c>
      <c r="B386" s="127">
        <v>46266</v>
      </c>
      <c r="C386" s="16">
        <v>47</v>
      </c>
      <c r="D386" s="16" t="s">
        <v>532</v>
      </c>
      <c r="E386" s="17">
        <v>2807.11</v>
      </c>
      <c r="F386" s="17">
        <v>2787.68</v>
      </c>
      <c r="G386" s="10" t="str">
        <f>VLOOKUP(Table11[[#This Row],[Store]],'Rates from Tracker'!A:B,2,0)</f>
        <v>REDDING</v>
      </c>
      <c r="H386" t="str">
        <f>VLOOKUP(D386,'Rates from Tracker'!A:C,3,0)</f>
        <v>Exceed Group REDDING</v>
      </c>
      <c r="I386" t="str">
        <f>VLOOKUP(Table11[[#This Row],[Franchisee]],'Rates from Tracker'!C:D,2,0)</f>
        <v>Chawla</v>
      </c>
      <c r="J386" s="10">
        <f>ROUND(IF(Table11[[#This Row],[Location]]="Belmont Market",Table11[[#This Row],[Column2]]*0.01,IF(Table11[[#This Row],[Location]]="Country Club Centre",Table11[[#This Row],[Column2]]*0.01,IF(Table11[[#This Row],[Location]]="Naval Air Station Norfolk",Table11[[#This Row],[Column2]]*0.005,F386*0.02))),2)</f>
        <v>55.75</v>
      </c>
      <c r="K38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86" s="11">
        <f t="shared" si="12"/>
        <v>139.38</v>
      </c>
      <c r="M386" s="10">
        <f t="shared" si="13"/>
        <v>195.13</v>
      </c>
    </row>
    <row r="387" spans="1:13" x14ac:dyDescent="0.25">
      <c r="A387" s="143" t="str">
        <f>IF(Table11[[#This Row],[Date]]=0,"",IF(Table11[[#This Row],[Date]]&lt;(Summary!$B$3-6),1,""))</f>
        <v/>
      </c>
      <c r="B387" s="127">
        <v>46266</v>
      </c>
      <c r="C387" s="16">
        <v>55</v>
      </c>
      <c r="D387" s="16" t="s">
        <v>533</v>
      </c>
      <c r="E387" s="17">
        <v>1383.77</v>
      </c>
      <c r="F387" s="17">
        <v>1364.43</v>
      </c>
      <c r="G387" s="10" t="str">
        <f>VLOOKUP(Table11[[#This Row],[Store]],'Rates from Tracker'!A:B,2,0)</f>
        <v>ROCKLIN</v>
      </c>
      <c r="H387" t="str">
        <f>VLOOKUP(D387,'Rates from Tracker'!A:C,3,0)</f>
        <v>Exceed Group ROCKLIN</v>
      </c>
      <c r="I387" t="str">
        <f>VLOOKUP(Table11[[#This Row],[Franchisee]],'Rates from Tracker'!C:D,2,0)</f>
        <v>Chawla</v>
      </c>
      <c r="J387" s="10">
        <f>ROUND(IF(Table11[[#This Row],[Location]]="Belmont Market",Table11[[#This Row],[Column2]]*0.01,IF(Table11[[#This Row],[Location]]="Country Club Centre",Table11[[#This Row],[Column2]]*0.01,IF(Table11[[#This Row],[Location]]="Naval Air Station Norfolk",Table11[[#This Row],[Column2]]*0.005,F387*0.02))),2)</f>
        <v>27.29</v>
      </c>
      <c r="K38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87" s="11">
        <f t="shared" si="12"/>
        <v>68.22</v>
      </c>
      <c r="M387" s="10">
        <f t="shared" si="13"/>
        <v>95.509999999999991</v>
      </c>
    </row>
    <row r="388" spans="1:13" x14ac:dyDescent="0.25">
      <c r="A388" s="143" t="str">
        <f>IF(Table11[[#This Row],[Date]]=0,"",IF(Table11[[#This Row],[Date]]&lt;(Summary!$B$3-6),1,""))</f>
        <v/>
      </c>
      <c r="B388" s="127">
        <v>46266</v>
      </c>
      <c r="C388" s="16">
        <v>56</v>
      </c>
      <c r="D388" s="16" t="s">
        <v>534</v>
      </c>
      <c r="E388" s="17">
        <v>2852.99</v>
      </c>
      <c r="F388" s="17">
        <v>2808.04</v>
      </c>
      <c r="G388" s="10" t="str">
        <f>VLOOKUP(Table11[[#This Row],[Store]],'Rates from Tracker'!A:B,2,0)</f>
        <v>LIVONIA</v>
      </c>
      <c r="H388" t="str">
        <f>VLOOKUP(D388,'Rates from Tracker'!A:C,3,0)</f>
        <v>TSFR Pizza LLC</v>
      </c>
      <c r="I388" t="str">
        <f>VLOOKUP(Table11[[#This Row],[Franchisee]],'Rates from Tracker'!C:D,2,0)</f>
        <v>Schostak</v>
      </c>
      <c r="J388" s="10">
        <f>ROUND(IF(Table11[[#This Row],[Location]]="Belmont Market",Table11[[#This Row],[Column2]]*0.01,IF(Table11[[#This Row],[Location]]="Country Club Centre",Table11[[#This Row],[Column2]]*0.01,IF(Table11[[#This Row],[Location]]="Naval Air Station Norfolk",Table11[[#This Row],[Column2]]*0.005,F388*0.02))),2)</f>
        <v>56.16</v>
      </c>
      <c r="K38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88" s="11">
        <f t="shared" si="12"/>
        <v>140.4</v>
      </c>
      <c r="M388" s="10">
        <f t="shared" si="13"/>
        <v>196.56</v>
      </c>
    </row>
    <row r="389" spans="1:13" x14ac:dyDescent="0.25">
      <c r="A389" s="143" t="str">
        <f>IF(Table11[[#This Row],[Date]]=0,"",IF(Table11[[#This Row],[Date]]&lt;(Summary!$B$3-6),1,""))</f>
        <v/>
      </c>
      <c r="B389" s="127">
        <v>46266</v>
      </c>
      <c r="C389" s="16">
        <v>77</v>
      </c>
      <c r="D389" s="16" t="s">
        <v>11</v>
      </c>
      <c r="E389" s="17">
        <v>1994.21</v>
      </c>
      <c r="F389" s="17">
        <v>1882.83</v>
      </c>
      <c r="G389" s="10" t="str">
        <f>VLOOKUP(Table11[[#This Row],[Store]],'Rates from Tracker'!A:B,2,0)</f>
        <v>Falcon Landing</v>
      </c>
      <c r="H389" t="str">
        <f>VLOOKUP(D389,'Rates from Tracker'!A:C,3,0)</f>
        <v>Best Pizza LLC</v>
      </c>
      <c r="I389" t="str">
        <f>VLOOKUP(Table11[[#This Row],[Franchisee]],'Rates from Tracker'!C:D,2,0)</f>
        <v>Merullo</v>
      </c>
      <c r="J389" s="10">
        <f>ROUND(IF(Table11[[#This Row],[Location]]="Belmont Market",Table11[[#This Row],[Column2]]*0.01,IF(Table11[[#This Row],[Location]]="Country Club Centre",Table11[[#This Row],[Column2]]*0.01,IF(Table11[[#This Row],[Location]]="Naval Air Station Norfolk",Table11[[#This Row],[Column2]]*0.005,F389*0.02))),2)</f>
        <v>37.659999999999997</v>
      </c>
      <c r="K38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89" s="11">
        <f t="shared" ref="L389:L452" si="14">ROUND(F389*K389,2)</f>
        <v>94.14</v>
      </c>
      <c r="M389" s="10">
        <f t="shared" ref="M389:M452" si="15">J389+L389</f>
        <v>131.80000000000001</v>
      </c>
    </row>
    <row r="390" spans="1:13" x14ac:dyDescent="0.25">
      <c r="A390" s="143" t="str">
        <f>IF(Table11[[#This Row],[Date]]=0,"",IF(Table11[[#This Row],[Date]]&lt;(Summary!$B$3-6),1,""))</f>
        <v/>
      </c>
      <c r="B390" s="127">
        <v>46266</v>
      </c>
      <c r="C390" s="16">
        <v>93</v>
      </c>
      <c r="D390" s="16" t="s">
        <v>5</v>
      </c>
      <c r="E390" s="17">
        <v>2589.61</v>
      </c>
      <c r="F390" s="17">
        <v>2572.25</v>
      </c>
      <c r="G390" s="10" t="str">
        <f>VLOOKUP(Table11[[#This Row],[Store]],'Rates from Tracker'!A:B,2,0)</f>
        <v>Brighton</v>
      </c>
      <c r="H390" t="str">
        <f>VLOOKUP(D390,'Rates from Tracker'!A:C,3,0)</f>
        <v>TSFR Pizza LLC</v>
      </c>
      <c r="I390" t="str">
        <f>VLOOKUP(Table11[[#This Row],[Franchisee]],'Rates from Tracker'!C:D,2,0)</f>
        <v>Schostak</v>
      </c>
      <c r="J390" s="10">
        <f>ROUND(IF(Table11[[#This Row],[Location]]="Belmont Market",Table11[[#This Row],[Column2]]*0.01,IF(Table11[[#This Row],[Location]]="Country Club Centre",Table11[[#This Row],[Column2]]*0.01,IF(Table11[[#This Row],[Location]]="Naval Air Station Norfolk",Table11[[#This Row],[Column2]]*0.005,F390*0.02))),2)</f>
        <v>51.45</v>
      </c>
      <c r="K39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90" s="11">
        <f t="shared" si="14"/>
        <v>128.61000000000001</v>
      </c>
      <c r="M390" s="10">
        <f t="shared" si="15"/>
        <v>180.06</v>
      </c>
    </row>
    <row r="391" spans="1:13" x14ac:dyDescent="0.25">
      <c r="A391" s="143" t="str">
        <f>IF(Table11[[#This Row],[Date]]=0,"",IF(Table11[[#This Row],[Date]]&lt;(Summary!$B$3-6),1,""))</f>
        <v/>
      </c>
      <c r="B391" s="127">
        <v>46266</v>
      </c>
      <c r="C391" s="16">
        <v>94</v>
      </c>
      <c r="D391" s="16" t="s">
        <v>7</v>
      </c>
      <c r="E391" s="17">
        <v>3034.62</v>
      </c>
      <c r="F391" s="17">
        <v>2975.83</v>
      </c>
      <c r="G391" s="10" t="str">
        <f>VLOOKUP(Table11[[#This Row],[Store]],'Rates from Tracker'!A:B,2,0)</f>
        <v>Castle Rock</v>
      </c>
      <c r="H391" t="str">
        <f>VLOOKUP(D391,'Rates from Tracker'!A:C,3,0)</f>
        <v>Best Pizza LLC</v>
      </c>
      <c r="I391" t="str">
        <f>VLOOKUP(Table11[[#This Row],[Franchisee]],'Rates from Tracker'!C:D,2,0)</f>
        <v>Merullo</v>
      </c>
      <c r="J391" s="10">
        <f>ROUND(IF(Table11[[#This Row],[Location]]="Belmont Market",Table11[[#This Row],[Column2]]*0.01,IF(Table11[[#This Row],[Location]]="Country Club Centre",Table11[[#This Row],[Column2]]*0.01,IF(Table11[[#This Row],[Location]]="Naval Air Station Norfolk",Table11[[#This Row],[Column2]]*0.005,F391*0.02))),2)</f>
        <v>59.52</v>
      </c>
      <c r="K39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91" s="11">
        <f t="shared" si="14"/>
        <v>148.79</v>
      </c>
      <c r="M391" s="10">
        <f t="shared" si="15"/>
        <v>208.31</v>
      </c>
    </row>
    <row r="392" spans="1:13" x14ac:dyDescent="0.25">
      <c r="A392" s="143" t="str">
        <f>IF(Table11[[#This Row],[Date]]=0,"",IF(Table11[[#This Row],[Date]]&lt;(Summary!$B$3-6),1,""))</f>
        <v/>
      </c>
      <c r="B392" s="127">
        <v>46266</v>
      </c>
      <c r="C392" s="16">
        <v>100</v>
      </c>
      <c r="D392" s="16" t="s">
        <v>17</v>
      </c>
      <c r="E392" s="17">
        <v>3037.38</v>
      </c>
      <c r="F392" s="17">
        <v>3033.39</v>
      </c>
      <c r="G392" s="10" t="str">
        <f>VLOOKUP(Table11[[#This Row],[Store]],'Rates from Tracker'!A:B,2,0)</f>
        <v>Howe Bout Arden</v>
      </c>
      <c r="H392" t="str">
        <f>VLOOKUP(D392,'Rates from Tracker'!A:C,3,0)</f>
        <v>Exceed Group Howe Bout Arden</v>
      </c>
      <c r="I392" t="str">
        <f>VLOOKUP(Table11[[#This Row],[Franchisee]],'Rates from Tracker'!C:D,2,0)</f>
        <v>Chawla</v>
      </c>
      <c r="J392" s="10">
        <f>ROUND(IF(Table11[[#This Row],[Location]]="Belmont Market",Table11[[#This Row],[Column2]]*0.01,IF(Table11[[#This Row],[Location]]="Country Club Centre",Table11[[#This Row],[Column2]]*0.01,IF(Table11[[#This Row],[Location]]="Naval Air Station Norfolk",Table11[[#This Row],[Column2]]*0.005,F392*0.02))),2)</f>
        <v>60.67</v>
      </c>
      <c r="K39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92" s="11">
        <f t="shared" si="14"/>
        <v>151.66999999999999</v>
      </c>
      <c r="M392" s="10">
        <f t="shared" si="15"/>
        <v>212.33999999999997</v>
      </c>
    </row>
    <row r="393" spans="1:13" x14ac:dyDescent="0.25">
      <c r="A393" s="143" t="str">
        <f>IF(Table11[[#This Row],[Date]]=0,"",IF(Table11[[#This Row],[Date]]&lt;(Summary!$B$3-6),1,""))</f>
        <v/>
      </c>
      <c r="B393" s="127">
        <v>46266</v>
      </c>
      <c r="C393" s="16">
        <v>126</v>
      </c>
      <c r="D393" s="16" t="s">
        <v>571</v>
      </c>
      <c r="E393" s="17">
        <v>2384.88</v>
      </c>
      <c r="F393" s="17">
        <v>2283.42</v>
      </c>
      <c r="G393" s="10" t="str">
        <f>VLOOKUP(Table11[[#This Row],[Store]],'Rates from Tracker'!A:B,2,0)</f>
        <v>Bend</v>
      </c>
      <c r="H393" t="str">
        <f>VLOOKUP(D393,'Rates from Tracker'!A:C,3,0)</f>
        <v>SSR Holdings LLC</v>
      </c>
      <c r="I393" t="str">
        <f>VLOOKUP(Table11[[#This Row],[Franchisee]],'Rates from Tracker'!C:D,2,0)</f>
        <v>Bikram</v>
      </c>
      <c r="J393" s="10">
        <f>ROUND(IF(Table11[[#This Row],[Location]]="Belmont Market",Table11[[#This Row],[Column2]]*0.01,IF(Table11[[#This Row],[Location]]="Country Club Centre",Table11[[#This Row],[Column2]]*0.01,IF(Table11[[#This Row],[Location]]="Naval Air Station Norfolk",Table11[[#This Row],[Column2]]*0.005,F393*0.02))),2)</f>
        <v>45.67</v>
      </c>
      <c r="K39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393" s="11">
        <f t="shared" si="14"/>
        <v>22.83</v>
      </c>
      <c r="M393" s="10">
        <f t="shared" si="15"/>
        <v>68.5</v>
      </c>
    </row>
    <row r="394" spans="1:13" x14ac:dyDescent="0.25">
      <c r="A394" s="143" t="str">
        <f>IF(Table11[[#This Row],[Date]]=0,"",IF(Table11[[#This Row],[Date]]&lt;(Summary!$B$3-6),1,""))</f>
        <v/>
      </c>
      <c r="B394" s="127">
        <v>46266</v>
      </c>
      <c r="C394" s="16">
        <v>133</v>
      </c>
      <c r="D394" s="16" t="s">
        <v>38</v>
      </c>
      <c r="E394" s="17">
        <v>2073.2600000000002</v>
      </c>
      <c r="F394" s="17">
        <v>2021.35</v>
      </c>
      <c r="G394" s="10" t="str">
        <f>VLOOKUP(Table11[[#This Row],[Store]],'Rates from Tracker'!A:B,2,0)</f>
        <v>Woodhill</v>
      </c>
      <c r="H394" t="str">
        <f>VLOOKUP(D394,'Rates from Tracker'!A:C,3,0)</f>
        <v>Rolling Dough LLC</v>
      </c>
      <c r="I394" t="str">
        <f>VLOOKUP(Table11[[#This Row],[Franchisee]],'Rates from Tracker'!C:D,2,0)</f>
        <v>Connolly</v>
      </c>
      <c r="J394" s="10">
        <f>ROUND(IF(Table11[[#This Row],[Location]]="Belmont Market",Table11[[#This Row],[Column2]]*0.01,IF(Table11[[#This Row],[Location]]="Country Club Centre",Table11[[#This Row],[Column2]]*0.01,IF(Table11[[#This Row],[Location]]="Naval Air Station Norfolk",Table11[[#This Row],[Column2]]*0.005,F394*0.02))),2)</f>
        <v>40.43</v>
      </c>
      <c r="K39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94" s="11">
        <f t="shared" si="14"/>
        <v>101.07</v>
      </c>
      <c r="M394" s="10">
        <f t="shared" si="15"/>
        <v>141.5</v>
      </c>
    </row>
    <row r="395" spans="1:13" x14ac:dyDescent="0.25">
      <c r="A395" s="143" t="str">
        <f>IF(Table11[[#This Row],[Date]]=0,"",IF(Table11[[#This Row],[Date]]&lt;(Summary!$B$3-6),1,""))</f>
        <v/>
      </c>
      <c r="B395" s="127">
        <v>46266</v>
      </c>
      <c r="C395" s="16">
        <v>149</v>
      </c>
      <c r="D395" s="16" t="s">
        <v>36</v>
      </c>
      <c r="E395" s="17">
        <v>2096.7399999999998</v>
      </c>
      <c r="F395" s="17">
        <v>2058.56</v>
      </c>
      <c r="G395" s="10" t="str">
        <f>VLOOKUP(Table11[[#This Row],[Store]],'Rates from Tracker'!A:B,2,0)</f>
        <v>Westwood Plaza</v>
      </c>
      <c r="H395" t="str">
        <f>VLOOKUP(D395,'Rates from Tracker'!A:C,3,0)</f>
        <v>Rolling Dough LLC</v>
      </c>
      <c r="I395" t="str">
        <f>VLOOKUP(Table11[[#This Row],[Franchisee]],'Rates from Tracker'!C:D,2,0)</f>
        <v>Connolly</v>
      </c>
      <c r="J395" s="10">
        <f>ROUND(IF(Table11[[#This Row],[Location]]="Belmont Market",Table11[[#This Row],[Column2]]*0.01,IF(Table11[[#This Row],[Location]]="Country Club Centre",Table11[[#This Row],[Column2]]*0.01,IF(Table11[[#This Row],[Location]]="Naval Air Station Norfolk",Table11[[#This Row],[Column2]]*0.005,F395*0.02))),2)</f>
        <v>41.17</v>
      </c>
      <c r="K39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95" s="11">
        <f t="shared" si="14"/>
        <v>102.93</v>
      </c>
      <c r="M395" s="10">
        <f t="shared" si="15"/>
        <v>144.10000000000002</v>
      </c>
    </row>
    <row r="396" spans="1:13" x14ac:dyDescent="0.25">
      <c r="A396" s="143" t="str">
        <f>IF(Table11[[#This Row],[Date]]=0,"",IF(Table11[[#This Row],[Date]]&lt;(Summary!$B$3-6),1,""))</f>
        <v/>
      </c>
      <c r="B396" s="127">
        <v>46266</v>
      </c>
      <c r="C396" s="16">
        <v>157</v>
      </c>
      <c r="D396" s="16" t="s">
        <v>15</v>
      </c>
      <c r="E396" s="17">
        <v>2568.29</v>
      </c>
      <c r="F396" s="17">
        <v>2556.98</v>
      </c>
      <c r="G396" s="10" t="str">
        <f>VLOOKUP(Table11[[#This Row],[Store]],'Rates from Tracker'!A:B,2,0)</f>
        <v>Hamburg #6</v>
      </c>
      <c r="H396" t="str">
        <f>VLOOKUP(D396,'Rates from Tracker'!A:C,3,0)</f>
        <v>Cool Dough Development, LLC</v>
      </c>
      <c r="I396" t="str">
        <f>VLOOKUP(Table11[[#This Row],[Franchisee]],'Rates from Tracker'!C:D,2,0)</f>
        <v>Denning</v>
      </c>
      <c r="J396" s="10">
        <f>ROUND(IF(Table11[[#This Row],[Location]]="Belmont Market",Table11[[#This Row],[Column2]]*0.01,IF(Table11[[#This Row],[Location]]="Country Club Centre",Table11[[#This Row],[Column2]]*0.01,IF(Table11[[#This Row],[Location]]="Naval Air Station Norfolk",Table11[[#This Row],[Column2]]*0.005,F396*0.02))),2)</f>
        <v>51.14</v>
      </c>
      <c r="K39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96" s="11">
        <f t="shared" si="14"/>
        <v>127.85</v>
      </c>
      <c r="M396" s="10">
        <f t="shared" si="15"/>
        <v>178.99</v>
      </c>
    </row>
    <row r="397" spans="1:13" x14ac:dyDescent="0.25">
      <c r="A397" s="143" t="str">
        <f>IF(Table11[[#This Row],[Date]]=0,"",IF(Table11[[#This Row],[Date]]&lt;(Summary!$B$3-6),1,""))</f>
        <v/>
      </c>
      <c r="B397" s="127">
        <v>46266</v>
      </c>
      <c r="C397" s="16">
        <v>158</v>
      </c>
      <c r="D397" s="16" t="s">
        <v>20</v>
      </c>
      <c r="E397" s="17">
        <v>2814.96</v>
      </c>
      <c r="F397" s="17">
        <v>2711.44</v>
      </c>
      <c r="G397" s="10" t="str">
        <f>VLOOKUP(Table11[[#This Row],[Store]],'Rates from Tracker'!A:B,2,0)</f>
        <v>McCaslin Marketplace</v>
      </c>
      <c r="H397" t="str">
        <f>VLOOKUP(D397,'Rates from Tracker'!A:C,3,0)</f>
        <v>Best Pizza LLC</v>
      </c>
      <c r="I397" t="str">
        <f>VLOOKUP(Table11[[#This Row],[Franchisee]],'Rates from Tracker'!C:D,2,0)</f>
        <v>Merullo</v>
      </c>
      <c r="J397" s="10">
        <f>ROUND(IF(Table11[[#This Row],[Location]]="Belmont Market",Table11[[#This Row],[Column2]]*0.01,IF(Table11[[#This Row],[Location]]="Country Club Centre",Table11[[#This Row],[Column2]]*0.01,IF(Table11[[#This Row],[Location]]="Naval Air Station Norfolk",Table11[[#This Row],[Column2]]*0.005,F397*0.02))),2)</f>
        <v>54.23</v>
      </c>
      <c r="K39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97" s="11">
        <f t="shared" si="14"/>
        <v>135.57</v>
      </c>
      <c r="M397" s="10">
        <f t="shared" si="15"/>
        <v>189.79999999999998</v>
      </c>
    </row>
    <row r="398" spans="1:13" x14ac:dyDescent="0.25">
      <c r="A398" s="143" t="str">
        <f>IF(Table11[[#This Row],[Date]]=0,"",IF(Table11[[#This Row],[Date]]&lt;(Summary!$B$3-6),1,""))</f>
        <v/>
      </c>
      <c r="B398" s="127">
        <v>46266</v>
      </c>
      <c r="C398" s="16">
        <v>159</v>
      </c>
      <c r="D398" s="16" t="s">
        <v>24</v>
      </c>
      <c r="E398" s="17">
        <v>1910.33</v>
      </c>
      <c r="F398" s="17">
        <v>1865.53</v>
      </c>
      <c r="G398" s="10" t="str">
        <f>VLOOKUP(Table11[[#This Row],[Store]],'Rates from Tracker'!A:B,2,0)</f>
        <v>North Charleston</v>
      </c>
      <c r="H398" t="str">
        <f>VLOOKUP(D398,'Rates from Tracker'!A:C,3,0)</f>
        <v>Rolling Dough LLC</v>
      </c>
      <c r="I398" t="str">
        <f>VLOOKUP(Table11[[#This Row],[Franchisee]],'Rates from Tracker'!C:D,2,0)</f>
        <v>Connolly</v>
      </c>
      <c r="J398" s="10">
        <f>ROUND(IF(Table11[[#This Row],[Location]]="Belmont Market",Table11[[#This Row],[Column2]]*0.01,IF(Table11[[#This Row],[Location]]="Country Club Centre",Table11[[#This Row],[Column2]]*0.01,IF(Table11[[#This Row],[Location]]="Naval Air Station Norfolk",Table11[[#This Row],[Column2]]*0.005,F398*0.02))),2)</f>
        <v>37.31</v>
      </c>
      <c r="K39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98" s="11">
        <f t="shared" si="14"/>
        <v>93.28</v>
      </c>
      <c r="M398" s="10">
        <f t="shared" si="15"/>
        <v>130.59</v>
      </c>
    </row>
    <row r="399" spans="1:13" x14ac:dyDescent="0.25">
      <c r="A399" s="143" t="str">
        <f>IF(Table11[[#This Row],[Date]]=0,"",IF(Table11[[#This Row],[Date]]&lt;(Summary!$B$3-6),1,""))</f>
        <v/>
      </c>
      <c r="B399" s="127">
        <v>46266</v>
      </c>
      <c r="C399" s="16">
        <v>161</v>
      </c>
      <c r="D399" s="16" t="s">
        <v>10</v>
      </c>
      <c r="E399" s="17">
        <v>3332.98</v>
      </c>
      <c r="F399" s="17">
        <v>3280.4</v>
      </c>
      <c r="G399" s="10" t="str">
        <f>VLOOKUP(Table11[[#This Row],[Store]],'Rates from Tracker'!A:B,2,0)</f>
        <v>Chico</v>
      </c>
      <c r="H399" t="str">
        <f>VLOOKUP(D399,'Rates from Tracker'!A:C,3,0)</f>
        <v>Exceed Group Chico</v>
      </c>
      <c r="I399" t="str">
        <f>VLOOKUP(Table11[[#This Row],[Franchisee]],'Rates from Tracker'!C:D,2,0)</f>
        <v>Chawla</v>
      </c>
      <c r="J399" s="10">
        <f>ROUND(IF(Table11[[#This Row],[Location]]="Belmont Market",Table11[[#This Row],[Column2]]*0.01,IF(Table11[[#This Row],[Location]]="Country Club Centre",Table11[[#This Row],[Column2]]*0.01,IF(Table11[[#This Row],[Location]]="Naval Air Station Norfolk",Table11[[#This Row],[Column2]]*0.005,F399*0.02))),2)</f>
        <v>65.61</v>
      </c>
      <c r="K39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399" s="11">
        <f t="shared" si="14"/>
        <v>164.02</v>
      </c>
      <c r="M399" s="10">
        <f t="shared" si="15"/>
        <v>229.63</v>
      </c>
    </row>
    <row r="400" spans="1:13" x14ac:dyDescent="0.25">
      <c r="A400" s="143" t="str">
        <f>IF(Table11[[#This Row],[Date]]=0,"",IF(Table11[[#This Row],[Date]]&lt;(Summary!$B$3-6),1,""))</f>
        <v/>
      </c>
      <c r="B400" s="127">
        <v>46266</v>
      </c>
      <c r="C400" s="16">
        <v>163</v>
      </c>
      <c r="D400" s="16" t="s">
        <v>13</v>
      </c>
      <c r="E400" s="17">
        <v>3443.95</v>
      </c>
      <c r="F400" s="17">
        <v>3313.54</v>
      </c>
      <c r="G400" s="10" t="str">
        <f>VLOOKUP(Table11[[#This Row],[Store]],'Rates from Tracker'!A:B,2,0)</f>
        <v>Forest Trace</v>
      </c>
      <c r="H400" t="str">
        <f>VLOOKUP(D400,'Rates from Tracker'!A:C,3,0)</f>
        <v>Best Pizza LLC</v>
      </c>
      <c r="I400" t="str">
        <f>VLOOKUP(Table11[[#This Row],[Franchisee]],'Rates from Tracker'!C:D,2,0)</f>
        <v>Merullo</v>
      </c>
      <c r="J400" s="10">
        <f>ROUND(IF(Table11[[#This Row],[Location]]="Belmont Market",Table11[[#This Row],[Column2]]*0.01,IF(Table11[[#This Row],[Location]]="Country Club Centre",Table11[[#This Row],[Column2]]*0.01,IF(Table11[[#This Row],[Location]]="Naval Air Station Norfolk",Table11[[#This Row],[Column2]]*0.005,F400*0.02))),2)</f>
        <v>66.27</v>
      </c>
      <c r="K40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00" s="11">
        <f t="shared" si="14"/>
        <v>165.68</v>
      </c>
      <c r="M400" s="10">
        <f t="shared" si="15"/>
        <v>231.95</v>
      </c>
    </row>
    <row r="401" spans="1:13" x14ac:dyDescent="0.25">
      <c r="A401" s="143" t="str">
        <f>IF(Table11[[#This Row],[Date]]=0,"",IF(Table11[[#This Row],[Date]]&lt;(Summary!$B$3-6),1,""))</f>
        <v/>
      </c>
      <c r="B401" s="127">
        <v>46266</v>
      </c>
      <c r="C401" s="16">
        <v>166</v>
      </c>
      <c r="D401" s="16" t="s">
        <v>8</v>
      </c>
      <c r="E401" s="17">
        <v>2516.94</v>
      </c>
      <c r="F401" s="17">
        <v>2479.48</v>
      </c>
      <c r="G401" s="10" t="str">
        <f>VLOOKUP(Table11[[#This Row],[Store]],'Rates from Tracker'!A:B,2,0)</f>
        <v>Centre Avenue</v>
      </c>
      <c r="H401" t="str">
        <f>VLOOKUP(D401,'Rates from Tracker'!A:C,3,0)</f>
        <v>Best Pizza LLC</v>
      </c>
      <c r="I401" t="str">
        <f>VLOOKUP(Table11[[#This Row],[Franchisee]],'Rates from Tracker'!C:D,2,0)</f>
        <v>Merullo</v>
      </c>
      <c r="J401" s="10">
        <f>ROUND(IF(Table11[[#This Row],[Location]]="Belmont Market",Table11[[#This Row],[Column2]]*0.01,IF(Table11[[#This Row],[Location]]="Country Club Centre",Table11[[#This Row],[Column2]]*0.01,IF(Table11[[#This Row],[Location]]="Naval Air Station Norfolk",Table11[[#This Row],[Column2]]*0.005,F401*0.02))),2)</f>
        <v>49.59</v>
      </c>
      <c r="K40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01" s="11">
        <f t="shared" si="14"/>
        <v>123.97</v>
      </c>
      <c r="M401" s="10">
        <f t="shared" si="15"/>
        <v>173.56</v>
      </c>
    </row>
    <row r="402" spans="1:13" x14ac:dyDescent="0.25">
      <c r="A402" s="143" t="str">
        <f>IF(Table11[[#This Row],[Date]]=0,"",IF(Table11[[#This Row],[Date]]&lt;(Summary!$B$3-6),1,""))</f>
        <v/>
      </c>
      <c r="B402" s="127">
        <v>46266</v>
      </c>
      <c r="C402" s="16">
        <v>172</v>
      </c>
      <c r="D402" s="16" t="s">
        <v>579</v>
      </c>
      <c r="E402" s="17">
        <v>2893.23</v>
      </c>
      <c r="F402" s="17">
        <v>2822.91</v>
      </c>
      <c r="G402" s="10" t="str">
        <f>VLOOKUP(Table11[[#This Row],[Store]],'Rates from Tracker'!A:B,2,0)</f>
        <v>Oakway</v>
      </c>
      <c r="H402" t="str">
        <f>VLOOKUP(D402,'Rates from Tracker'!A:C,3,0)</f>
        <v>SSR Holdings LLC</v>
      </c>
      <c r="I402" t="str">
        <f>VLOOKUP(Table11[[#This Row],[Franchisee]],'Rates from Tracker'!C:D,2,0)</f>
        <v>Bikram</v>
      </c>
      <c r="J402" s="10">
        <f>ROUND(IF(Table11[[#This Row],[Location]]="Belmont Market",Table11[[#This Row],[Column2]]*0.01,IF(Table11[[#This Row],[Location]]="Country Club Centre",Table11[[#This Row],[Column2]]*0.01,IF(Table11[[#This Row],[Location]]="Naval Air Station Norfolk",Table11[[#This Row],[Column2]]*0.005,F402*0.02))),2)</f>
        <v>56.46</v>
      </c>
      <c r="K40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02" s="11">
        <f t="shared" si="14"/>
        <v>28.23</v>
      </c>
      <c r="M402" s="10">
        <f t="shared" si="15"/>
        <v>84.69</v>
      </c>
    </row>
    <row r="403" spans="1:13" x14ac:dyDescent="0.25">
      <c r="A403" s="143" t="str">
        <f>IF(Table11[[#This Row],[Date]]=0,"",IF(Table11[[#This Row],[Date]]&lt;(Summary!$B$3-6),1,""))</f>
        <v/>
      </c>
      <c r="B403" s="127">
        <v>46266</v>
      </c>
      <c r="C403" s="16">
        <v>204</v>
      </c>
      <c r="D403" s="16" t="s">
        <v>578</v>
      </c>
      <c r="E403" s="17">
        <v>3306.42</v>
      </c>
      <c r="F403" s="17">
        <v>3246.22</v>
      </c>
      <c r="G403" s="10" t="str">
        <f>VLOOKUP(Table11[[#This Row],[Store]],'Rates from Tracker'!A:B,2,0)</f>
        <v>North Medford</v>
      </c>
      <c r="H403" t="str">
        <f>VLOOKUP(D403,'Rates from Tracker'!A:C,3,0)</f>
        <v>SSR Holdings LLC</v>
      </c>
      <c r="I403" t="str">
        <f>VLOOKUP(Table11[[#This Row],[Franchisee]],'Rates from Tracker'!C:D,2,0)</f>
        <v>Bikram</v>
      </c>
      <c r="J403" s="10">
        <f>ROUND(IF(Table11[[#This Row],[Location]]="Belmont Market",Table11[[#This Row],[Column2]]*0.01,IF(Table11[[#This Row],[Location]]="Country Club Centre",Table11[[#This Row],[Column2]]*0.01,IF(Table11[[#This Row],[Location]]="Naval Air Station Norfolk",Table11[[#This Row],[Column2]]*0.005,F403*0.02))),2)</f>
        <v>64.92</v>
      </c>
      <c r="K40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03" s="11">
        <f t="shared" si="14"/>
        <v>32.46</v>
      </c>
      <c r="M403" s="10">
        <f t="shared" si="15"/>
        <v>97.38</v>
      </c>
    </row>
    <row r="404" spans="1:13" x14ac:dyDescent="0.25">
      <c r="A404" s="143" t="str">
        <f>IF(Table11[[#This Row],[Date]]=0,"",IF(Table11[[#This Row],[Date]]&lt;(Summary!$B$3-6),1,""))</f>
        <v/>
      </c>
      <c r="B404" s="127">
        <v>46266</v>
      </c>
      <c r="C404" s="16">
        <v>210</v>
      </c>
      <c r="D404" s="16" t="s">
        <v>586</v>
      </c>
      <c r="E404" s="17">
        <v>1936.24</v>
      </c>
      <c r="F404" s="17">
        <v>1904.46</v>
      </c>
      <c r="G404" s="10" t="str">
        <f>VLOOKUP(Table11[[#This Row],[Store]],'Rates from Tracker'!A:B,2,0)</f>
        <v>South Eugene</v>
      </c>
      <c r="H404" t="str">
        <f>VLOOKUP(D404,'Rates from Tracker'!A:C,3,0)</f>
        <v>SSR Holdings LLC</v>
      </c>
      <c r="I404" t="str">
        <f>VLOOKUP(Table11[[#This Row],[Franchisee]],'Rates from Tracker'!C:D,2,0)</f>
        <v>Bikram</v>
      </c>
      <c r="J404" s="10">
        <f>ROUND(IF(Table11[[#This Row],[Location]]="Belmont Market",Table11[[#This Row],[Column2]]*0.01,IF(Table11[[#This Row],[Location]]="Country Club Centre",Table11[[#This Row],[Column2]]*0.01,IF(Table11[[#This Row],[Location]]="Naval Air Station Norfolk",Table11[[#This Row],[Column2]]*0.005,F404*0.02))),2)</f>
        <v>38.090000000000003</v>
      </c>
      <c r="K40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04" s="11">
        <f t="shared" si="14"/>
        <v>19.04</v>
      </c>
      <c r="M404" s="10">
        <f t="shared" si="15"/>
        <v>57.13</v>
      </c>
    </row>
    <row r="405" spans="1:13" x14ac:dyDescent="0.25">
      <c r="A405" s="143" t="str">
        <f>IF(Table11[[#This Row],[Date]]=0,"",IF(Table11[[#This Row],[Date]]&lt;(Summary!$B$3-6),1,""))</f>
        <v/>
      </c>
      <c r="B405" s="127">
        <v>46266</v>
      </c>
      <c r="C405" s="16">
        <v>212</v>
      </c>
      <c r="D405" s="16" t="s">
        <v>39</v>
      </c>
      <c r="E405" s="17">
        <v>2610.35</v>
      </c>
      <c r="F405" s="17">
        <v>2502.96</v>
      </c>
      <c r="G405" s="10" t="str">
        <f>VLOOKUP(Table11[[#This Row],[Store]],'Rates from Tracker'!A:B,2,0)</f>
        <v>Woodland</v>
      </c>
      <c r="H405" t="str">
        <f>VLOOKUP(D405,'Rates from Tracker'!A:C,3,0)</f>
        <v>Exceed Group Woodland</v>
      </c>
      <c r="I405" t="str">
        <f>VLOOKUP(Table11[[#This Row],[Franchisee]],'Rates from Tracker'!C:D,2,0)</f>
        <v>Chawla</v>
      </c>
      <c r="J405" s="10">
        <f>ROUND(IF(Table11[[#This Row],[Location]]="Belmont Market",Table11[[#This Row],[Column2]]*0.01,IF(Table11[[#This Row],[Location]]="Country Club Centre",Table11[[#This Row],[Column2]]*0.01,IF(Table11[[#This Row],[Location]]="Naval Air Station Norfolk",Table11[[#This Row],[Column2]]*0.005,F405*0.02))),2)</f>
        <v>50.06</v>
      </c>
      <c r="K40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05" s="11">
        <f t="shared" si="14"/>
        <v>125.15</v>
      </c>
      <c r="M405" s="10">
        <f t="shared" si="15"/>
        <v>175.21</v>
      </c>
    </row>
    <row r="406" spans="1:13" x14ac:dyDescent="0.25">
      <c r="A406" s="143" t="str">
        <f>IF(Table11[[#This Row],[Date]]=0,"",IF(Table11[[#This Row],[Date]]&lt;(Summary!$B$3-6),1,""))</f>
        <v/>
      </c>
      <c r="B406" s="127">
        <v>46266</v>
      </c>
      <c r="C406" s="16">
        <v>216</v>
      </c>
      <c r="D406" s="16" t="s">
        <v>23</v>
      </c>
      <c r="E406" s="17">
        <v>1772.2</v>
      </c>
      <c r="F406" s="17">
        <v>1714.11</v>
      </c>
      <c r="G406" s="10" t="str">
        <f>VLOOKUP(Table11[[#This Row],[Store]],'Rates from Tracker'!A:B,2,0)</f>
        <v>NE Columbia</v>
      </c>
      <c r="H406" t="str">
        <f>VLOOKUP(D406,'Rates from Tracker'!A:C,3,0)</f>
        <v>Rolling Dough LLC</v>
      </c>
      <c r="I406" t="str">
        <f>VLOOKUP(Table11[[#This Row],[Franchisee]],'Rates from Tracker'!C:D,2,0)</f>
        <v>Connolly</v>
      </c>
      <c r="J406" s="10">
        <f>ROUND(IF(Table11[[#This Row],[Location]]="Belmont Market",Table11[[#This Row],[Column2]]*0.01,IF(Table11[[#This Row],[Location]]="Country Club Centre",Table11[[#This Row],[Column2]]*0.01,IF(Table11[[#This Row],[Location]]="Naval Air Station Norfolk",Table11[[#This Row],[Column2]]*0.005,F406*0.02))),2)</f>
        <v>34.28</v>
      </c>
      <c r="K40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06" s="11">
        <f t="shared" si="14"/>
        <v>85.71</v>
      </c>
      <c r="M406" s="10">
        <f t="shared" si="15"/>
        <v>119.99</v>
      </c>
    </row>
    <row r="407" spans="1:13" x14ac:dyDescent="0.25">
      <c r="A407" s="143" t="str">
        <f>IF(Table11[[#This Row],[Date]]=0,"",IF(Table11[[#This Row],[Date]]&lt;(Summary!$B$3-6),1,""))</f>
        <v/>
      </c>
      <c r="B407" s="127">
        <v>46266</v>
      </c>
      <c r="C407" s="16">
        <v>228</v>
      </c>
      <c r="D407" s="16" t="s">
        <v>131</v>
      </c>
      <c r="E407" s="17">
        <v>2023.69</v>
      </c>
      <c r="F407" s="17">
        <v>1959.62</v>
      </c>
      <c r="G407" s="10" t="str">
        <f>VLOOKUP(Table11[[#This Row],[Store]],'Rates from Tracker'!A:B,2,0)</f>
        <v>Auburn Village</v>
      </c>
      <c r="H407" t="str">
        <f>VLOOKUP(D407,'Rates from Tracker'!A:C,3,0)</f>
        <v>Exceed Group Auburn Village</v>
      </c>
      <c r="I407" t="str">
        <f>VLOOKUP(Table11[[#This Row],[Franchisee]],'Rates from Tracker'!C:D,2,0)</f>
        <v>Chawla</v>
      </c>
      <c r="J407" s="10">
        <f>ROUND(IF(Table11[[#This Row],[Location]]="Belmont Market",Table11[[#This Row],[Column2]]*0.01,IF(Table11[[#This Row],[Location]]="Country Club Centre",Table11[[#This Row],[Column2]]*0.01,IF(Table11[[#This Row],[Location]]="Naval Air Station Norfolk",Table11[[#This Row],[Column2]]*0.005,F407*0.02))),2)</f>
        <v>39.19</v>
      </c>
      <c r="K40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07" s="11">
        <f t="shared" si="14"/>
        <v>97.98</v>
      </c>
      <c r="M407" s="10">
        <f t="shared" si="15"/>
        <v>137.17000000000002</v>
      </c>
    </row>
    <row r="408" spans="1:13" x14ac:dyDescent="0.25">
      <c r="A408" s="143" t="str">
        <f>IF(Table11[[#This Row],[Date]]=0,"",IF(Table11[[#This Row],[Date]]&lt;(Summary!$B$3-6),1,""))</f>
        <v/>
      </c>
      <c r="B408" s="127">
        <v>46266</v>
      </c>
      <c r="C408" s="16">
        <v>231</v>
      </c>
      <c r="D408" s="16" t="s">
        <v>133</v>
      </c>
      <c r="E408" s="17">
        <v>2263.66</v>
      </c>
      <c r="F408" s="17">
        <v>2252.9699999999998</v>
      </c>
      <c r="G408" s="10" t="str">
        <f>VLOOKUP(Table11[[#This Row],[Store]],'Rates from Tracker'!A:B,2,0)</f>
        <v>Kennesaw</v>
      </c>
      <c r="H408" t="str">
        <f>VLOOKUP(D408,'Rates from Tracker'!A:C,3,0)</f>
        <v>Southern Pie LLC</v>
      </c>
      <c r="I408" t="str">
        <f>VLOOKUP(Table11[[#This Row],[Franchisee]],'Rates from Tracker'!C:D,2,0)</f>
        <v>Hill/Hayden</v>
      </c>
      <c r="J408" s="10">
        <f>ROUND(IF(Table11[[#This Row],[Location]]="Belmont Market",Table11[[#This Row],[Column2]]*0.01,IF(Table11[[#This Row],[Location]]="Country Club Centre",Table11[[#This Row],[Column2]]*0.01,IF(Table11[[#This Row],[Location]]="Naval Air Station Norfolk",Table11[[#This Row],[Column2]]*0.005,F408*0.02))),2)</f>
        <v>45.06</v>
      </c>
      <c r="K40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08" s="11">
        <f t="shared" si="14"/>
        <v>112.65</v>
      </c>
      <c r="M408" s="10">
        <f t="shared" si="15"/>
        <v>157.71</v>
      </c>
    </row>
    <row r="409" spans="1:13" x14ac:dyDescent="0.25">
      <c r="A409" s="143" t="str">
        <f>IF(Table11[[#This Row],[Date]]=0,"",IF(Table11[[#This Row],[Date]]&lt;(Summary!$B$3-6),1,""))</f>
        <v/>
      </c>
      <c r="B409" s="127">
        <v>46266</v>
      </c>
      <c r="C409" s="16">
        <v>241</v>
      </c>
      <c r="D409" s="16" t="s">
        <v>592</v>
      </c>
      <c r="E409" s="17">
        <v>2557.6799999999998</v>
      </c>
      <c r="F409" s="17">
        <v>2529.61</v>
      </c>
      <c r="G409" s="10" t="str">
        <f>VLOOKUP(Table11[[#This Row],[Store]],'Rates from Tracker'!A:B,2,0)</f>
        <v>Woods Cross</v>
      </c>
      <c r="H409" t="str">
        <f>VLOOKUP(D409,'Rates from Tracker'!A:C,3,0)</f>
        <v>SSR Holdings LLC</v>
      </c>
      <c r="I409" t="str">
        <f>VLOOKUP(Table11[[#This Row],[Franchisee]],'Rates from Tracker'!C:D,2,0)</f>
        <v>Bikram</v>
      </c>
      <c r="J409" s="10">
        <f>ROUND(IF(Table11[[#This Row],[Location]]="Belmont Market",Table11[[#This Row],[Column2]]*0.01,IF(Table11[[#This Row],[Location]]="Country Club Centre",Table11[[#This Row],[Column2]]*0.01,IF(Table11[[#This Row],[Location]]="Naval Air Station Norfolk",Table11[[#This Row],[Column2]]*0.005,F409*0.02))),2)</f>
        <v>50.59</v>
      </c>
      <c r="K40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09" s="11">
        <f t="shared" si="14"/>
        <v>25.3</v>
      </c>
      <c r="M409" s="10">
        <f t="shared" si="15"/>
        <v>75.89</v>
      </c>
    </row>
    <row r="410" spans="1:13" x14ac:dyDescent="0.25">
      <c r="A410" s="143" t="str">
        <f>IF(Table11[[#This Row],[Date]]=0,"",IF(Table11[[#This Row],[Date]]&lt;(Summary!$B$3-6),1,""))</f>
        <v/>
      </c>
      <c r="B410" s="127">
        <v>46266</v>
      </c>
      <c r="C410" s="16">
        <v>244</v>
      </c>
      <c r="D410" s="16" t="s">
        <v>155</v>
      </c>
      <c r="E410" s="17">
        <v>1808.24</v>
      </c>
      <c r="F410" s="17">
        <v>1791.69</v>
      </c>
      <c r="G410" s="10" t="str">
        <f>VLOOKUP(Table11[[#This Row],[Store]],'Rates from Tracker'!A:B,2,0)</f>
        <v>Redfield Promenade</v>
      </c>
      <c r="H410" t="str">
        <f>VLOOKUP(D410,'Rates from Tracker'!A:C,3,0)</f>
        <v>Exceed Group Redfield Promenade</v>
      </c>
      <c r="I410" t="str">
        <f>VLOOKUP(Table11[[#This Row],[Franchisee]],'Rates from Tracker'!C:D,2,0)</f>
        <v>Chawla</v>
      </c>
      <c r="J410" s="10">
        <f>ROUND(IF(Table11[[#This Row],[Location]]="Belmont Market",Table11[[#This Row],[Column2]]*0.01,IF(Table11[[#This Row],[Location]]="Country Club Centre",Table11[[#This Row],[Column2]]*0.01,IF(Table11[[#This Row],[Location]]="Naval Air Station Norfolk",Table11[[#This Row],[Column2]]*0.005,F410*0.02))),2)</f>
        <v>35.83</v>
      </c>
      <c r="K41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10" s="11">
        <f t="shared" si="14"/>
        <v>89.58</v>
      </c>
      <c r="M410" s="10">
        <f t="shared" si="15"/>
        <v>125.41</v>
      </c>
    </row>
    <row r="411" spans="1:13" x14ac:dyDescent="0.25">
      <c r="A411" s="143" t="str">
        <f>IF(Table11[[#This Row],[Date]]=0,"",IF(Table11[[#This Row],[Date]]&lt;(Summary!$B$3-6),1,""))</f>
        <v/>
      </c>
      <c r="B411" s="127">
        <v>46266</v>
      </c>
      <c r="C411" s="16">
        <v>245</v>
      </c>
      <c r="D411" s="16" t="s">
        <v>157</v>
      </c>
      <c r="E411" s="17">
        <v>1240.81</v>
      </c>
      <c r="F411" s="17">
        <v>1139.0899999999999</v>
      </c>
      <c r="G411" s="10" t="str">
        <f>VLOOKUP(Table11[[#This Row],[Store]],'Rates from Tracker'!A:B,2,0)</f>
        <v>Evansville #11</v>
      </c>
      <c r="H411" t="str">
        <f>VLOOKUP(D411,'Rates from Tracker'!A:C,3,0)</f>
        <v>Cool Dough Development, LLC</v>
      </c>
      <c r="I411" t="str">
        <f>VLOOKUP(Table11[[#This Row],[Franchisee]],'Rates from Tracker'!C:D,2,0)</f>
        <v>Denning</v>
      </c>
      <c r="J411" s="10">
        <f>ROUND(IF(Table11[[#This Row],[Location]]="Belmont Market",Table11[[#This Row],[Column2]]*0.01,IF(Table11[[#This Row],[Location]]="Country Club Centre",Table11[[#This Row],[Column2]]*0.01,IF(Table11[[#This Row],[Location]]="Naval Air Station Norfolk",Table11[[#This Row],[Column2]]*0.005,F411*0.02))),2)</f>
        <v>22.78</v>
      </c>
      <c r="K41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11" s="11">
        <f t="shared" si="14"/>
        <v>56.95</v>
      </c>
      <c r="M411" s="10">
        <f t="shared" si="15"/>
        <v>79.73</v>
      </c>
    </row>
    <row r="412" spans="1:13" x14ac:dyDescent="0.25">
      <c r="A412" s="143" t="str">
        <f>IF(Table11[[#This Row],[Date]]=0,"",IF(Table11[[#This Row],[Date]]&lt;(Summary!$B$3-6),1,""))</f>
        <v/>
      </c>
      <c r="B412" s="127">
        <v>46266</v>
      </c>
      <c r="C412" s="16">
        <v>251</v>
      </c>
      <c r="D412" s="16" t="s">
        <v>258</v>
      </c>
      <c r="E412" s="17">
        <v>2977.65</v>
      </c>
      <c r="F412" s="17">
        <v>2913.71</v>
      </c>
      <c r="G412" s="10" t="str">
        <f>VLOOKUP(Table11[[#This Row],[Store]],'Rates from Tracker'!A:B,2,0)</f>
        <v>Westminster Promenade</v>
      </c>
      <c r="H412" t="str">
        <f>VLOOKUP(D412,'Rates from Tracker'!A:C,3,0)</f>
        <v>Best Pizza LLC</v>
      </c>
      <c r="I412" t="str">
        <f>VLOOKUP(Table11[[#This Row],[Franchisee]],'Rates from Tracker'!C:D,2,0)</f>
        <v>Merullo</v>
      </c>
      <c r="J412" s="10">
        <f>ROUND(IF(Table11[[#This Row],[Location]]="Belmont Market",Table11[[#This Row],[Column2]]*0.01,IF(Table11[[#This Row],[Location]]="Country Club Centre",Table11[[#This Row],[Column2]]*0.01,IF(Table11[[#This Row],[Location]]="Naval Air Station Norfolk",Table11[[#This Row],[Column2]]*0.005,F412*0.02))),2)</f>
        <v>58.27</v>
      </c>
      <c r="K41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12" s="11">
        <f t="shared" si="14"/>
        <v>145.69</v>
      </c>
      <c r="M412" s="10">
        <f t="shared" si="15"/>
        <v>203.96</v>
      </c>
    </row>
    <row r="413" spans="1:13" x14ac:dyDescent="0.25">
      <c r="A413" s="143" t="str">
        <f>IF(Table11[[#This Row],[Date]]=0,"",IF(Table11[[#This Row],[Date]]&lt;(Summary!$B$3-6),1,""))</f>
        <v/>
      </c>
      <c r="B413" s="127">
        <v>46266</v>
      </c>
      <c r="C413" s="16">
        <v>253</v>
      </c>
      <c r="D413" s="16" t="s">
        <v>580</v>
      </c>
      <c r="E413" s="17">
        <v>2189.4</v>
      </c>
      <c r="F413" s="17">
        <v>2135.7399999999998</v>
      </c>
      <c r="G413" s="10" t="str">
        <f>VLOOKUP(Table11[[#This Row],[Store]],'Rates from Tracker'!A:B,2,0)</f>
        <v>Park City</v>
      </c>
      <c r="H413" t="str">
        <f>VLOOKUP(D413,'Rates from Tracker'!A:C,3,0)</f>
        <v>SSR Holdings LLC</v>
      </c>
      <c r="I413" t="str">
        <f>VLOOKUP(Table11[[#This Row],[Franchisee]],'Rates from Tracker'!C:D,2,0)</f>
        <v>Bikram</v>
      </c>
      <c r="J413" s="10">
        <f>ROUND(IF(Table11[[#This Row],[Location]]="Belmont Market",Table11[[#This Row],[Column2]]*0.01,IF(Table11[[#This Row],[Location]]="Country Club Centre",Table11[[#This Row],[Column2]]*0.01,IF(Table11[[#This Row],[Location]]="Naval Air Station Norfolk",Table11[[#This Row],[Column2]]*0.005,F413*0.02))),2)</f>
        <v>42.71</v>
      </c>
      <c r="K41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13" s="11">
        <f t="shared" si="14"/>
        <v>21.36</v>
      </c>
      <c r="M413" s="10">
        <f t="shared" si="15"/>
        <v>64.069999999999993</v>
      </c>
    </row>
    <row r="414" spans="1:13" x14ac:dyDescent="0.25">
      <c r="A414" s="143" t="str">
        <f>IF(Table11[[#This Row],[Date]]=0,"",IF(Table11[[#This Row],[Date]]&lt;(Summary!$B$3-6),1,""))</f>
        <v/>
      </c>
      <c r="B414" s="127">
        <v>46266</v>
      </c>
      <c r="C414" s="16">
        <v>256</v>
      </c>
      <c r="D414" s="16" t="s">
        <v>266</v>
      </c>
      <c r="E414" s="17">
        <v>2659.39</v>
      </c>
      <c r="F414" s="17">
        <v>2603.48</v>
      </c>
      <c r="G414" s="10" t="str">
        <f>VLOOKUP(Table11[[#This Row],[Store]],'Rates from Tracker'!A:B,2,0)</f>
        <v>S Academy Highlands</v>
      </c>
      <c r="H414" t="str">
        <f>VLOOKUP(D414,'Rates from Tracker'!A:C,3,0)</f>
        <v>Best Pizza LLC</v>
      </c>
      <c r="I414" t="str">
        <f>VLOOKUP(Table11[[#This Row],[Franchisee]],'Rates from Tracker'!C:D,2,0)</f>
        <v>Merullo</v>
      </c>
      <c r="J414" s="10">
        <f>ROUND(IF(Table11[[#This Row],[Location]]="Belmont Market",Table11[[#This Row],[Column2]]*0.01,IF(Table11[[#This Row],[Location]]="Country Club Centre",Table11[[#This Row],[Column2]]*0.01,IF(Table11[[#This Row],[Location]]="Naval Air Station Norfolk",Table11[[#This Row],[Column2]]*0.005,F414*0.02))),2)</f>
        <v>52.07</v>
      </c>
      <c r="K41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14" s="11">
        <f t="shared" si="14"/>
        <v>130.16999999999999</v>
      </c>
      <c r="M414" s="10">
        <f t="shared" si="15"/>
        <v>182.23999999999998</v>
      </c>
    </row>
    <row r="415" spans="1:13" x14ac:dyDescent="0.25">
      <c r="A415" s="143" t="str">
        <f>IF(Table11[[#This Row],[Date]]=0,"",IF(Table11[[#This Row],[Date]]&lt;(Summary!$B$3-6),1,""))</f>
        <v/>
      </c>
      <c r="B415" s="127">
        <v>46266</v>
      </c>
      <c r="C415" s="16">
        <v>258</v>
      </c>
      <c r="D415" s="16" t="s">
        <v>582</v>
      </c>
      <c r="E415" s="17">
        <v>1995.74</v>
      </c>
      <c r="F415" s="17">
        <v>1957.45</v>
      </c>
      <c r="G415" s="10" t="str">
        <f>VLOOKUP(Table11[[#This Row],[Store]],'Rates from Tracker'!A:B,2,0)</f>
        <v>Riverdale</v>
      </c>
      <c r="H415" t="str">
        <f>VLOOKUP(D415,'Rates from Tracker'!A:C,3,0)</f>
        <v>SSR Holdings LLC</v>
      </c>
      <c r="I415" t="str">
        <f>VLOOKUP(Table11[[#This Row],[Franchisee]],'Rates from Tracker'!C:D,2,0)</f>
        <v>Bikram</v>
      </c>
      <c r="J415" s="10">
        <f>ROUND(IF(Table11[[#This Row],[Location]]="Belmont Market",Table11[[#This Row],[Column2]]*0.01,IF(Table11[[#This Row],[Location]]="Country Club Centre",Table11[[#This Row],[Column2]]*0.01,IF(Table11[[#This Row],[Location]]="Naval Air Station Norfolk",Table11[[#This Row],[Column2]]*0.005,F415*0.02))),2)</f>
        <v>39.15</v>
      </c>
      <c r="K41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15" s="11">
        <f t="shared" si="14"/>
        <v>19.57</v>
      </c>
      <c r="M415" s="10">
        <f t="shared" si="15"/>
        <v>58.72</v>
      </c>
    </row>
    <row r="416" spans="1:13" x14ac:dyDescent="0.25">
      <c r="A416" s="143" t="str">
        <f>IF(Table11[[#This Row],[Date]]=0,"",IF(Table11[[#This Row],[Date]]&lt;(Summary!$B$3-6),1,""))</f>
        <v/>
      </c>
      <c r="B416" s="127">
        <v>46266</v>
      </c>
      <c r="C416" s="16">
        <v>260</v>
      </c>
      <c r="D416" s="16" t="s">
        <v>280</v>
      </c>
      <c r="E416" s="17">
        <v>3103.74</v>
      </c>
      <c r="F416" s="17">
        <v>2985.37</v>
      </c>
      <c r="G416" s="10" t="str">
        <f>VLOOKUP(Table11[[#This Row],[Store]],'Rates from Tracker'!A:B,2,0)</f>
        <v>Highlands Ranch</v>
      </c>
      <c r="H416" t="str">
        <f>VLOOKUP(D416,'Rates from Tracker'!A:C,3,0)</f>
        <v>Best Pizza LLC</v>
      </c>
      <c r="I416" t="str">
        <f>VLOOKUP(Table11[[#This Row],[Franchisee]],'Rates from Tracker'!C:D,2,0)</f>
        <v>Merullo</v>
      </c>
      <c r="J416" s="10">
        <f>ROUND(IF(Table11[[#This Row],[Location]]="Belmont Market",Table11[[#This Row],[Column2]]*0.01,IF(Table11[[#This Row],[Location]]="Country Club Centre",Table11[[#This Row],[Column2]]*0.01,IF(Table11[[#This Row],[Location]]="Naval Air Station Norfolk",Table11[[#This Row],[Column2]]*0.005,F416*0.02))),2)</f>
        <v>59.71</v>
      </c>
      <c r="K41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16" s="11">
        <f t="shared" si="14"/>
        <v>149.27000000000001</v>
      </c>
      <c r="M416" s="10">
        <f t="shared" si="15"/>
        <v>208.98000000000002</v>
      </c>
    </row>
    <row r="417" spans="1:13" x14ac:dyDescent="0.25">
      <c r="A417" s="143" t="str">
        <f>IF(Table11[[#This Row],[Date]]=0,"",IF(Table11[[#This Row],[Date]]&lt;(Summary!$B$3-6),1,""))</f>
        <v/>
      </c>
      <c r="B417" s="127">
        <v>46266</v>
      </c>
      <c r="C417" s="16">
        <v>265</v>
      </c>
      <c r="D417" s="16" t="s">
        <v>267</v>
      </c>
      <c r="E417" s="17">
        <v>3337.56</v>
      </c>
      <c r="F417" s="17">
        <v>3231.5</v>
      </c>
      <c r="G417" s="10" t="str">
        <f>VLOOKUP(Table11[[#This Row],[Store]],'Rates from Tracker'!A:B,2,0)</f>
        <v>Dublin Commons</v>
      </c>
      <c r="H417" t="str">
        <f>VLOOKUP(D417,'Rates from Tracker'!A:C,3,0)</f>
        <v>Best Pizza LLC</v>
      </c>
      <c r="I417" t="str">
        <f>VLOOKUP(Table11[[#This Row],[Franchisee]],'Rates from Tracker'!C:D,2,0)</f>
        <v>Merullo</v>
      </c>
      <c r="J417" s="10">
        <f>ROUND(IF(Table11[[#This Row],[Location]]="Belmont Market",Table11[[#This Row],[Column2]]*0.01,IF(Table11[[#This Row],[Location]]="Country Club Centre",Table11[[#This Row],[Column2]]*0.01,IF(Table11[[#This Row],[Location]]="Naval Air Station Norfolk",Table11[[#This Row],[Column2]]*0.005,F417*0.02))),2)</f>
        <v>64.63</v>
      </c>
      <c r="K41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17" s="11">
        <f t="shared" si="14"/>
        <v>161.58000000000001</v>
      </c>
      <c r="M417" s="10">
        <f t="shared" si="15"/>
        <v>226.21</v>
      </c>
    </row>
    <row r="418" spans="1:13" x14ac:dyDescent="0.25">
      <c r="A418" s="143" t="str">
        <f>IF(Table11[[#This Row],[Date]]=0,"",IF(Table11[[#This Row],[Date]]&lt;(Summary!$B$3-6),1,""))</f>
        <v/>
      </c>
      <c r="B418" s="127">
        <v>46266</v>
      </c>
      <c r="C418" s="16">
        <v>267</v>
      </c>
      <c r="D418" s="16" t="s">
        <v>281</v>
      </c>
      <c r="E418" s="17">
        <v>1282.46</v>
      </c>
      <c r="F418" s="17">
        <v>1267.17</v>
      </c>
      <c r="G418" s="10" t="str">
        <f>VLOOKUP(Table11[[#This Row],[Store]],'Rates from Tracker'!A:B,2,0)</f>
        <v>Decatur</v>
      </c>
      <c r="H418" t="str">
        <f>VLOOKUP(D418,'Rates from Tracker'!A:C,3,0)</f>
        <v>DAZ9</v>
      </c>
      <c r="I418" t="str">
        <f>VLOOKUP(Table11[[#This Row],[Franchisee]],'Rates from Tracker'!C:D,2,0)</f>
        <v>Neal Patel</v>
      </c>
      <c r="J418" s="10">
        <f>ROUND(IF(Table11[[#This Row],[Location]]="Belmont Market",Table11[[#This Row],[Column2]]*0.01,IF(Table11[[#This Row],[Location]]="Country Club Centre",Table11[[#This Row],[Column2]]*0.01,IF(Table11[[#This Row],[Location]]="Naval Air Station Norfolk",Table11[[#This Row],[Column2]]*0.005,F418*0.02))),2)</f>
        <v>25.34</v>
      </c>
      <c r="K41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18" s="11">
        <f t="shared" si="14"/>
        <v>12.67</v>
      </c>
      <c r="M418" s="10">
        <f t="shared" si="15"/>
        <v>38.01</v>
      </c>
    </row>
    <row r="419" spans="1:13" x14ac:dyDescent="0.25">
      <c r="A419" s="143" t="str">
        <f>IF(Table11[[#This Row],[Date]]=0,"",IF(Table11[[#This Row],[Date]]&lt;(Summary!$B$3-6),1,""))</f>
        <v/>
      </c>
      <c r="B419" s="127">
        <v>46266</v>
      </c>
      <c r="C419" s="16">
        <v>272</v>
      </c>
      <c r="D419" s="16" t="s">
        <v>290</v>
      </c>
      <c r="E419" s="17">
        <v>2147.39</v>
      </c>
      <c r="F419" s="17">
        <v>2081.15</v>
      </c>
      <c r="G419" s="10" t="str">
        <f>VLOOKUP(Table11[[#This Row],[Store]],'Rates from Tracker'!A:B,2,0)</f>
        <v>Northfield Commons</v>
      </c>
      <c r="H419" t="str">
        <f>VLOOKUP(D419,'Rates from Tracker'!A:C,3,0)</f>
        <v>Best Pizza LLC</v>
      </c>
      <c r="I419" t="str">
        <f>VLOOKUP(Table11[[#This Row],[Franchisee]],'Rates from Tracker'!C:D,2,0)</f>
        <v>Merullo</v>
      </c>
      <c r="J419" s="10">
        <f>ROUND(IF(Table11[[#This Row],[Location]]="Belmont Market",Table11[[#This Row],[Column2]]*0.01,IF(Table11[[#This Row],[Location]]="Country Club Centre",Table11[[#This Row],[Column2]]*0.01,IF(Table11[[#This Row],[Location]]="Naval Air Station Norfolk",Table11[[#This Row],[Column2]]*0.005,F419*0.02))),2)</f>
        <v>41.62</v>
      </c>
      <c r="K41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19" s="11">
        <f t="shared" si="14"/>
        <v>104.06</v>
      </c>
      <c r="M419" s="10">
        <f t="shared" si="15"/>
        <v>145.68</v>
      </c>
    </row>
    <row r="420" spans="1:13" x14ac:dyDescent="0.25">
      <c r="A420" s="143" t="str">
        <f>IF(Table11[[#This Row],[Date]]=0,"",IF(Table11[[#This Row],[Date]]&lt;(Summary!$B$3-6),1,""))</f>
        <v/>
      </c>
      <c r="B420" s="127">
        <v>46266</v>
      </c>
      <c r="C420" s="16">
        <v>278</v>
      </c>
      <c r="D420" s="16" t="s">
        <v>284</v>
      </c>
      <c r="E420" s="17">
        <v>2791.99</v>
      </c>
      <c r="F420" s="17">
        <v>2762.03</v>
      </c>
      <c r="G420" s="10" t="str">
        <f>VLOOKUP(Table11[[#This Row],[Store]],'Rates from Tracker'!A:B,2,0)</f>
        <v>Diamond Circle</v>
      </c>
      <c r="H420" t="str">
        <f>VLOOKUP(D420,'Rates from Tracker'!A:C,3,0)</f>
        <v>Best Pizza LLC</v>
      </c>
      <c r="I420" t="str">
        <f>VLOOKUP(Table11[[#This Row],[Franchisee]],'Rates from Tracker'!C:D,2,0)</f>
        <v>Merullo</v>
      </c>
      <c r="J420" s="10">
        <f>ROUND(IF(Table11[[#This Row],[Location]]="Belmont Market",Table11[[#This Row],[Column2]]*0.01,IF(Table11[[#This Row],[Location]]="Country Club Centre",Table11[[#This Row],[Column2]]*0.01,IF(Table11[[#This Row],[Location]]="Naval Air Station Norfolk",Table11[[#This Row],[Column2]]*0.005,F420*0.02))),2)</f>
        <v>55.24</v>
      </c>
      <c r="K42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20" s="11">
        <f t="shared" si="14"/>
        <v>138.1</v>
      </c>
      <c r="M420" s="10">
        <f t="shared" si="15"/>
        <v>193.34</v>
      </c>
    </row>
    <row r="421" spans="1:13" x14ac:dyDescent="0.25">
      <c r="A421" s="143" t="str">
        <f>IF(Table11[[#This Row],[Date]]=0,"",IF(Table11[[#This Row],[Date]]&lt;(Summary!$B$3-6),1,""))</f>
        <v/>
      </c>
      <c r="B421" s="127">
        <v>46266</v>
      </c>
      <c r="C421" s="16">
        <v>279</v>
      </c>
      <c r="D421" s="16" t="s">
        <v>299</v>
      </c>
      <c r="E421" s="17">
        <v>2241.16</v>
      </c>
      <c r="F421" s="17">
        <v>2213.67</v>
      </c>
      <c r="G421" s="10" t="str">
        <f>VLOOKUP(Table11[[#This Row],[Store]],'Rates from Tracker'!A:B,2,0)</f>
        <v>Lexington</v>
      </c>
      <c r="H421" t="str">
        <f>VLOOKUP(D421,'Rates from Tracker'!A:C,3,0)</f>
        <v>Rolling Dough LLC</v>
      </c>
      <c r="I421" t="str">
        <f>VLOOKUP(Table11[[#This Row],[Franchisee]],'Rates from Tracker'!C:D,2,0)</f>
        <v>Connolly</v>
      </c>
      <c r="J421" s="10">
        <f>ROUND(IF(Table11[[#This Row],[Location]]="Belmont Market",Table11[[#This Row],[Column2]]*0.01,IF(Table11[[#This Row],[Location]]="Country Club Centre",Table11[[#This Row],[Column2]]*0.01,IF(Table11[[#This Row],[Location]]="Naval Air Station Norfolk",Table11[[#This Row],[Column2]]*0.005,F421*0.02))),2)</f>
        <v>44.27</v>
      </c>
      <c r="K42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21" s="11">
        <f t="shared" si="14"/>
        <v>110.68</v>
      </c>
      <c r="M421" s="10">
        <f t="shared" si="15"/>
        <v>154.95000000000002</v>
      </c>
    </row>
    <row r="422" spans="1:13" x14ac:dyDescent="0.25">
      <c r="A422" s="143" t="str">
        <f>IF(Table11[[#This Row],[Date]]=0,"",IF(Table11[[#This Row],[Date]]&lt;(Summary!$B$3-6),1,""))</f>
        <v/>
      </c>
      <c r="B422" s="127">
        <v>46266</v>
      </c>
      <c r="C422" s="16">
        <v>285</v>
      </c>
      <c r="D422" s="16" t="s">
        <v>288</v>
      </c>
      <c r="E422" s="17">
        <v>2866.08</v>
      </c>
      <c r="F422" s="17">
        <v>2763.87</v>
      </c>
      <c r="G422" s="10" t="str">
        <f>VLOOKUP(Table11[[#This Row],[Store]],'Rates from Tracker'!A:B,2,0)</f>
        <v>Polaris Pointe</v>
      </c>
      <c r="H422" t="str">
        <f>VLOOKUP(D422,'Rates from Tracker'!A:C,3,0)</f>
        <v>Best Pizza LLC</v>
      </c>
      <c r="I422" t="str">
        <f>VLOOKUP(Table11[[#This Row],[Franchisee]],'Rates from Tracker'!C:D,2,0)</f>
        <v>Merullo</v>
      </c>
      <c r="J422" s="10">
        <f>ROUND(IF(Table11[[#This Row],[Location]]="Belmont Market",Table11[[#This Row],[Column2]]*0.01,IF(Table11[[#This Row],[Location]]="Country Club Centre",Table11[[#This Row],[Column2]]*0.01,IF(Table11[[#This Row],[Location]]="Naval Air Station Norfolk",Table11[[#This Row],[Column2]]*0.005,F422*0.02))),2)</f>
        <v>55.28</v>
      </c>
      <c r="K42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22" s="11">
        <f t="shared" si="14"/>
        <v>138.19</v>
      </c>
      <c r="M422" s="10">
        <f t="shared" si="15"/>
        <v>193.47</v>
      </c>
    </row>
    <row r="423" spans="1:13" x14ac:dyDescent="0.25">
      <c r="A423" s="143" t="str">
        <f>IF(Table11[[#This Row],[Date]]=0,"",IF(Table11[[#This Row],[Date]]&lt;(Summary!$B$3-6),1,""))</f>
        <v/>
      </c>
      <c r="B423" s="127">
        <v>46266</v>
      </c>
      <c r="C423" s="16">
        <v>292</v>
      </c>
      <c r="D423" s="16" t="s">
        <v>296</v>
      </c>
      <c r="E423" s="17">
        <v>1820.48</v>
      </c>
      <c r="F423" s="17">
        <v>1737.68</v>
      </c>
      <c r="G423" s="10" t="str">
        <f>VLOOKUP(Table11[[#This Row],[Store]],'Rates from Tracker'!A:B,2,0)</f>
        <v>Greeley</v>
      </c>
      <c r="H423" t="str">
        <f>VLOOKUP(D423,'Rates from Tracker'!A:C,3,0)</f>
        <v>Best Pizza LLC</v>
      </c>
      <c r="I423" t="str">
        <f>VLOOKUP(Table11[[#This Row],[Franchisee]],'Rates from Tracker'!C:D,2,0)</f>
        <v>Merullo</v>
      </c>
      <c r="J423" s="10">
        <f>ROUND(IF(Table11[[#This Row],[Location]]="Belmont Market",Table11[[#This Row],[Column2]]*0.01,IF(Table11[[#This Row],[Location]]="Country Club Centre",Table11[[#This Row],[Column2]]*0.01,IF(Table11[[#This Row],[Location]]="Naval Air Station Norfolk",Table11[[#This Row],[Column2]]*0.005,F423*0.02))),2)</f>
        <v>34.75</v>
      </c>
      <c r="K42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23" s="11">
        <f t="shared" si="14"/>
        <v>86.88</v>
      </c>
      <c r="M423" s="10">
        <f t="shared" si="15"/>
        <v>121.63</v>
      </c>
    </row>
    <row r="424" spans="1:13" x14ac:dyDescent="0.25">
      <c r="A424" s="143" t="str">
        <f>IF(Table11[[#This Row],[Date]]=0,"",IF(Table11[[#This Row],[Date]]&lt;(Summary!$B$3-6),1,""))</f>
        <v/>
      </c>
      <c r="B424" s="127">
        <v>46266</v>
      </c>
      <c r="C424" s="16">
        <v>293</v>
      </c>
      <c r="D424" s="16" t="s">
        <v>320</v>
      </c>
      <c r="E424" s="17">
        <v>1936.84</v>
      </c>
      <c r="F424" s="17">
        <v>1915.84</v>
      </c>
      <c r="G424" s="10" t="str">
        <f>VLOOKUP(Table11[[#This Row],[Store]],'Rates from Tracker'!A:B,2,0)</f>
        <v>West Sacramento</v>
      </c>
      <c r="H424" t="str">
        <f>VLOOKUP(D424,'Rates from Tracker'!A:C,3,0)</f>
        <v>Exceed Group West Sacramento</v>
      </c>
      <c r="I424" t="str">
        <f>VLOOKUP(Table11[[#This Row],[Franchisee]],'Rates from Tracker'!C:D,2,0)</f>
        <v>Chawla</v>
      </c>
      <c r="J424" s="10">
        <f>ROUND(IF(Table11[[#This Row],[Location]]="Belmont Market",Table11[[#This Row],[Column2]]*0.01,IF(Table11[[#This Row],[Location]]="Country Club Centre",Table11[[#This Row],[Column2]]*0.01,IF(Table11[[#This Row],[Location]]="Naval Air Station Norfolk",Table11[[#This Row],[Column2]]*0.005,F424*0.02))),2)</f>
        <v>38.32</v>
      </c>
      <c r="K42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24" s="11">
        <f t="shared" si="14"/>
        <v>95.79</v>
      </c>
      <c r="M424" s="10">
        <f t="shared" si="15"/>
        <v>134.11000000000001</v>
      </c>
    </row>
    <row r="425" spans="1:13" x14ac:dyDescent="0.25">
      <c r="A425" s="143" t="str">
        <f>IF(Table11[[#This Row],[Date]]=0,"",IF(Table11[[#This Row],[Date]]&lt;(Summary!$B$3-6),1,""))</f>
        <v/>
      </c>
      <c r="B425" s="127">
        <v>46266</v>
      </c>
      <c r="C425" s="16">
        <v>296</v>
      </c>
      <c r="D425" s="16" t="s">
        <v>329</v>
      </c>
      <c r="E425" s="17">
        <v>1691.85</v>
      </c>
      <c r="F425" s="17">
        <v>1684.69</v>
      </c>
      <c r="G425" s="10" t="str">
        <f>VLOOKUP(Table11[[#This Row],[Store]],'Rates from Tracker'!A:B,2,0)</f>
        <v>Rancho Cordova</v>
      </c>
      <c r="H425" t="str">
        <f>VLOOKUP(D425,'Rates from Tracker'!A:C,3,0)</f>
        <v>Exceed Group Rancho Cordova</v>
      </c>
      <c r="I425" t="str">
        <f>VLOOKUP(Table11[[#This Row],[Franchisee]],'Rates from Tracker'!C:D,2,0)</f>
        <v>Chawla</v>
      </c>
      <c r="J425" s="10">
        <f>ROUND(IF(Table11[[#This Row],[Location]]="Belmont Market",Table11[[#This Row],[Column2]]*0.01,IF(Table11[[#This Row],[Location]]="Country Club Centre",Table11[[#This Row],[Column2]]*0.01,IF(Table11[[#This Row],[Location]]="Naval Air Station Norfolk",Table11[[#This Row],[Column2]]*0.005,F425*0.02))),2)</f>
        <v>33.69</v>
      </c>
      <c r="K42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25" s="11">
        <f t="shared" si="14"/>
        <v>84.23</v>
      </c>
      <c r="M425" s="10">
        <f t="shared" si="15"/>
        <v>117.92</v>
      </c>
    </row>
    <row r="426" spans="1:13" x14ac:dyDescent="0.25">
      <c r="A426" s="143" t="str">
        <f>IF(Table11[[#This Row],[Date]]=0,"",IF(Table11[[#This Row],[Date]]&lt;(Summary!$B$3-6),1,""))</f>
        <v/>
      </c>
      <c r="B426" s="127">
        <v>46266</v>
      </c>
      <c r="C426" s="16">
        <v>324</v>
      </c>
      <c r="D426" s="16" t="s">
        <v>569</v>
      </c>
      <c r="E426" s="17">
        <v>1527.83</v>
      </c>
      <c r="F426" s="17">
        <v>1490.77</v>
      </c>
      <c r="G426" s="10" t="str">
        <f>VLOOKUP(Table11[[#This Row],[Store]],'Rates from Tracker'!A:B,2,0)</f>
        <v>American Fork</v>
      </c>
      <c r="H426" t="str">
        <f>VLOOKUP(D426,'Rates from Tracker'!A:C,3,0)</f>
        <v>SSR Holdings LLC</v>
      </c>
      <c r="I426" t="str">
        <f>VLOOKUP(Table11[[#This Row],[Franchisee]],'Rates from Tracker'!C:D,2,0)</f>
        <v>Bikram</v>
      </c>
      <c r="J426" s="10">
        <f>ROUND(IF(Table11[[#This Row],[Location]]="Belmont Market",Table11[[#This Row],[Column2]]*0.01,IF(Table11[[#This Row],[Location]]="Country Club Centre",Table11[[#This Row],[Column2]]*0.01,IF(Table11[[#This Row],[Location]]="Naval Air Station Norfolk",Table11[[#This Row],[Column2]]*0.005,F426*0.02))),2)</f>
        <v>29.82</v>
      </c>
      <c r="K42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26" s="11">
        <f t="shared" si="14"/>
        <v>14.91</v>
      </c>
      <c r="M426" s="10">
        <f t="shared" si="15"/>
        <v>44.730000000000004</v>
      </c>
    </row>
    <row r="427" spans="1:13" x14ac:dyDescent="0.25">
      <c r="A427" s="143" t="str">
        <f>IF(Table11[[#This Row],[Date]]=0,"",IF(Table11[[#This Row],[Date]]&lt;(Summary!$B$3-6),1,""))</f>
        <v/>
      </c>
      <c r="B427" s="127">
        <v>46266</v>
      </c>
      <c r="C427" s="16">
        <v>325</v>
      </c>
      <c r="D427" s="16" t="s">
        <v>591</v>
      </c>
      <c r="E427" s="17">
        <v>1560.26</v>
      </c>
      <c r="F427" s="17">
        <v>1519.04</v>
      </c>
      <c r="G427" s="10" t="str">
        <f>VLOOKUP(Table11[[#This Row],[Store]],'Rates from Tracker'!A:B,2,0)</f>
        <v>Sugar House</v>
      </c>
      <c r="H427" t="str">
        <f>VLOOKUP(D427,'Rates from Tracker'!A:C,3,0)</f>
        <v>SSR Holdings LLC</v>
      </c>
      <c r="I427" t="str">
        <f>VLOOKUP(Table11[[#This Row],[Franchisee]],'Rates from Tracker'!C:D,2,0)</f>
        <v>Bikram</v>
      </c>
      <c r="J427" s="10">
        <f>ROUND(IF(Table11[[#This Row],[Location]]="Belmont Market",Table11[[#This Row],[Column2]]*0.01,IF(Table11[[#This Row],[Location]]="Country Club Centre",Table11[[#This Row],[Column2]]*0.01,IF(Table11[[#This Row],[Location]]="Naval Air Station Norfolk",Table11[[#This Row],[Column2]]*0.005,F427*0.02))),2)</f>
        <v>30.38</v>
      </c>
      <c r="K42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27" s="11">
        <f t="shared" si="14"/>
        <v>15.19</v>
      </c>
      <c r="M427" s="10">
        <f t="shared" si="15"/>
        <v>45.57</v>
      </c>
    </row>
    <row r="428" spans="1:13" x14ac:dyDescent="0.25">
      <c r="A428" s="143" t="str">
        <f>IF(Table11[[#This Row],[Date]]=0,"",IF(Table11[[#This Row],[Date]]&lt;(Summary!$B$3-6),1,""))</f>
        <v/>
      </c>
      <c r="B428" s="127">
        <v>46266</v>
      </c>
      <c r="C428" s="16">
        <v>332</v>
      </c>
      <c r="D428" s="16" t="s">
        <v>583</v>
      </c>
      <c r="E428" s="17">
        <v>1551.26</v>
      </c>
      <c r="F428" s="17">
        <v>1502.98</v>
      </c>
      <c r="G428" s="10" t="str">
        <f>VLOOKUP(Table11[[#This Row],[Store]],'Rates from Tracker'!A:B,2,0)</f>
        <v>Riverton</v>
      </c>
      <c r="H428" t="str">
        <f>VLOOKUP(D428,'Rates from Tracker'!A:C,3,0)</f>
        <v>SSR Holdings LLC</v>
      </c>
      <c r="I428" t="str">
        <f>VLOOKUP(Table11[[#This Row],[Franchisee]],'Rates from Tracker'!C:D,2,0)</f>
        <v>Bikram</v>
      </c>
      <c r="J428" s="10">
        <f>ROUND(IF(Table11[[#This Row],[Location]]="Belmont Market",Table11[[#This Row],[Column2]]*0.01,IF(Table11[[#This Row],[Location]]="Country Club Centre",Table11[[#This Row],[Column2]]*0.01,IF(Table11[[#This Row],[Location]]="Naval Air Station Norfolk",Table11[[#This Row],[Column2]]*0.005,F428*0.02))),2)</f>
        <v>30.06</v>
      </c>
      <c r="K42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28" s="11">
        <f t="shared" si="14"/>
        <v>15.03</v>
      </c>
      <c r="M428" s="10">
        <f t="shared" si="15"/>
        <v>45.089999999999996</v>
      </c>
    </row>
    <row r="429" spans="1:13" x14ac:dyDescent="0.25">
      <c r="A429" s="143" t="str">
        <f>IF(Table11[[#This Row],[Date]]=0,"",IF(Table11[[#This Row],[Date]]&lt;(Summary!$B$3-6),1,""))</f>
        <v/>
      </c>
      <c r="B429" s="127">
        <v>46266</v>
      </c>
      <c r="C429" s="16">
        <v>334</v>
      </c>
      <c r="D429" s="16" t="s">
        <v>577</v>
      </c>
      <c r="E429" s="17">
        <v>1636.01</v>
      </c>
      <c r="F429" s="17">
        <v>1620.33</v>
      </c>
      <c r="G429" s="10" t="str">
        <f>VLOOKUP(Table11[[#This Row],[Store]],'Rates from Tracker'!A:B,2,0)</f>
        <v>Layton</v>
      </c>
      <c r="H429" t="str">
        <f>VLOOKUP(D429,'Rates from Tracker'!A:C,3,0)</f>
        <v>SSR Holdings LLC</v>
      </c>
      <c r="I429" t="str">
        <f>VLOOKUP(Table11[[#This Row],[Franchisee]],'Rates from Tracker'!C:D,2,0)</f>
        <v>Bikram</v>
      </c>
      <c r="J429" s="10">
        <f>ROUND(IF(Table11[[#This Row],[Location]]="Belmont Market",Table11[[#This Row],[Column2]]*0.01,IF(Table11[[#This Row],[Location]]="Country Club Centre",Table11[[#This Row],[Column2]]*0.01,IF(Table11[[#This Row],[Location]]="Naval Air Station Norfolk",Table11[[#This Row],[Column2]]*0.005,F429*0.02))),2)</f>
        <v>32.409999999999997</v>
      </c>
      <c r="K42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29" s="11">
        <f t="shared" si="14"/>
        <v>16.2</v>
      </c>
      <c r="M429" s="10">
        <f t="shared" si="15"/>
        <v>48.61</v>
      </c>
    </row>
    <row r="430" spans="1:13" x14ac:dyDescent="0.25">
      <c r="B430" s="127">
        <v>46266</v>
      </c>
      <c r="C430" s="16">
        <v>338</v>
      </c>
      <c r="D430" s="16" t="s">
        <v>310</v>
      </c>
      <c r="E430" s="17">
        <v>2521.23</v>
      </c>
      <c r="F430" s="17">
        <v>2353.85</v>
      </c>
      <c r="G430" s="10" t="str">
        <f>VLOOKUP(Table11[[#This Row],[Store]],'Rates from Tracker'!A:B,2,0)</f>
        <v>Augusta Exchange</v>
      </c>
      <c r="H430" t="str">
        <f>VLOOKUP(D430,'Rates from Tracker'!A:C,3,0)</f>
        <v>Rolling Dough LLC</v>
      </c>
      <c r="I430" t="str">
        <f>VLOOKUP(Table11[[#This Row],[Franchisee]],'Rates from Tracker'!C:D,2,0)</f>
        <v>Connolly</v>
      </c>
      <c r="J430" s="10">
        <f>ROUND(IF(Table11[[#This Row],[Location]]="Belmont Market",Table11[[#This Row],[Column2]]*0.01,IF(Table11[[#This Row],[Location]]="Country Club Centre",Table11[[#This Row],[Column2]]*0.01,IF(Table11[[#This Row],[Location]]="Naval Air Station Norfolk",Table11[[#This Row],[Column2]]*0.005,F430*0.02))),2)</f>
        <v>47.08</v>
      </c>
      <c r="K43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30" s="11">
        <f t="shared" si="14"/>
        <v>117.69</v>
      </c>
      <c r="M430" s="10">
        <f t="shared" si="15"/>
        <v>164.76999999999998</v>
      </c>
    </row>
    <row r="431" spans="1:13" x14ac:dyDescent="0.25">
      <c r="B431" s="127">
        <v>46266</v>
      </c>
      <c r="C431" s="16">
        <v>348</v>
      </c>
      <c r="D431" s="16" t="s">
        <v>572</v>
      </c>
      <c r="E431" s="17">
        <v>3121.21</v>
      </c>
      <c r="F431" s="17">
        <v>3047.96</v>
      </c>
      <c r="G431" s="10" t="str">
        <f>VLOOKUP(Table11[[#This Row],[Store]],'Rates from Tracker'!A:B,2,0)</f>
        <v>Bend North</v>
      </c>
      <c r="H431" t="str">
        <f>VLOOKUP(D431,'Rates from Tracker'!A:C,3,0)</f>
        <v>SSR Holdings LLC</v>
      </c>
      <c r="I431" t="str">
        <f>VLOOKUP(Table11[[#This Row],[Franchisee]],'Rates from Tracker'!C:D,2,0)</f>
        <v>Bikram</v>
      </c>
      <c r="J431" s="10">
        <f>ROUND(IF(Table11[[#This Row],[Location]]="Belmont Market",Table11[[#This Row],[Column2]]*0.01,IF(Table11[[#This Row],[Location]]="Country Club Centre",Table11[[#This Row],[Column2]]*0.01,IF(Table11[[#This Row],[Location]]="Naval Air Station Norfolk",Table11[[#This Row],[Column2]]*0.005,F431*0.02))),2)</f>
        <v>60.96</v>
      </c>
      <c r="K43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31" s="11">
        <f t="shared" si="14"/>
        <v>30.48</v>
      </c>
      <c r="M431" s="10">
        <f t="shared" si="15"/>
        <v>91.44</v>
      </c>
    </row>
    <row r="432" spans="1:13" x14ac:dyDescent="0.25">
      <c r="B432" s="127">
        <v>46266</v>
      </c>
      <c r="C432" s="16">
        <v>349</v>
      </c>
      <c r="D432" s="16" t="s">
        <v>588</v>
      </c>
      <c r="E432" s="17">
        <v>2198.73</v>
      </c>
      <c r="F432" s="17">
        <v>2145.9</v>
      </c>
      <c r="G432" s="10" t="str">
        <f>VLOOKUP(Table11[[#This Row],[Store]],'Rates from Tracker'!A:B,2,0)</f>
        <v>South Medford</v>
      </c>
      <c r="H432" t="str">
        <f>VLOOKUP(D432,'Rates from Tracker'!A:C,3,0)</f>
        <v>SSR Holdings LLC</v>
      </c>
      <c r="I432" t="str">
        <f>VLOOKUP(Table11[[#This Row],[Franchisee]],'Rates from Tracker'!C:D,2,0)</f>
        <v>Bikram</v>
      </c>
      <c r="J432" s="10">
        <f>ROUND(IF(Table11[[#This Row],[Location]]="Belmont Market",Table11[[#This Row],[Column2]]*0.01,IF(Table11[[#This Row],[Location]]="Country Club Centre",Table11[[#This Row],[Column2]]*0.01,IF(Table11[[#This Row],[Location]]="Naval Air Station Norfolk",Table11[[#This Row],[Column2]]*0.005,F432*0.02))),2)</f>
        <v>42.92</v>
      </c>
      <c r="K43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32" s="11">
        <f t="shared" si="14"/>
        <v>21.46</v>
      </c>
      <c r="M432" s="10">
        <f t="shared" si="15"/>
        <v>64.38</v>
      </c>
    </row>
    <row r="433" spans="2:13" x14ac:dyDescent="0.25">
      <c r="B433" s="127">
        <v>46266</v>
      </c>
      <c r="C433" s="16">
        <v>352</v>
      </c>
      <c r="D433" s="16" t="s">
        <v>350</v>
      </c>
      <c r="E433" s="17">
        <v>1606.25</v>
      </c>
      <c r="F433" s="17">
        <v>1438.84</v>
      </c>
      <c r="G433" s="10" t="str">
        <f>VLOOKUP(Table11[[#This Row],[Store]],'Rates from Tracker'!A:B,2,0)</f>
        <v>Georgetown</v>
      </c>
      <c r="H433" t="str">
        <f>VLOOKUP(D433,'Rates from Tracker'!A:C,3,0)</f>
        <v>Cool Dough Development, LLC</v>
      </c>
      <c r="I433" t="str">
        <f>VLOOKUP(Table11[[#This Row],[Franchisee]],'Rates from Tracker'!C:D,2,0)</f>
        <v>Denning</v>
      </c>
      <c r="J433" s="10">
        <f>ROUND(IF(Table11[[#This Row],[Location]]="Belmont Market",Table11[[#This Row],[Column2]]*0.01,IF(Table11[[#This Row],[Location]]="Country Club Centre",Table11[[#This Row],[Column2]]*0.01,IF(Table11[[#This Row],[Location]]="Naval Air Station Norfolk",Table11[[#This Row],[Column2]]*0.005,F433*0.02))),2)</f>
        <v>28.78</v>
      </c>
      <c r="K43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33" s="11">
        <f t="shared" si="14"/>
        <v>71.94</v>
      </c>
      <c r="M433" s="10">
        <f t="shared" si="15"/>
        <v>100.72</v>
      </c>
    </row>
    <row r="434" spans="2:13" x14ac:dyDescent="0.25">
      <c r="B434" s="127">
        <v>46266</v>
      </c>
      <c r="C434" s="16">
        <v>366</v>
      </c>
      <c r="D434" s="16" t="s">
        <v>585</v>
      </c>
      <c r="E434" s="17">
        <v>2039.51</v>
      </c>
      <c r="F434" s="17">
        <v>2013.26</v>
      </c>
      <c r="G434" s="10" t="str">
        <f>VLOOKUP(Table11[[#This Row],[Store]],'Rates from Tracker'!A:B,2,0)</f>
        <v>Saratoga Springs</v>
      </c>
      <c r="H434" t="str">
        <f>VLOOKUP(D434,'Rates from Tracker'!A:C,3,0)</f>
        <v>SSR Holdings LLC</v>
      </c>
      <c r="I434" t="str">
        <f>VLOOKUP(Table11[[#This Row],[Franchisee]],'Rates from Tracker'!C:D,2,0)</f>
        <v>Bikram</v>
      </c>
      <c r="J434" s="10">
        <f>ROUND(IF(Table11[[#This Row],[Location]]="Belmont Market",Table11[[#This Row],[Column2]]*0.01,IF(Table11[[#This Row],[Location]]="Country Club Centre",Table11[[#This Row],[Column2]]*0.01,IF(Table11[[#This Row],[Location]]="Naval Air Station Norfolk",Table11[[#This Row],[Column2]]*0.005,F434*0.02))),2)</f>
        <v>40.270000000000003</v>
      </c>
      <c r="K43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34" s="11">
        <f t="shared" si="14"/>
        <v>20.13</v>
      </c>
      <c r="M434" s="10">
        <f t="shared" si="15"/>
        <v>60.400000000000006</v>
      </c>
    </row>
    <row r="435" spans="2:13" x14ac:dyDescent="0.25">
      <c r="B435" s="127">
        <v>46266</v>
      </c>
      <c r="C435" s="16">
        <v>384</v>
      </c>
      <c r="D435" s="16" t="s">
        <v>339</v>
      </c>
      <c r="E435" s="17">
        <v>2930.66</v>
      </c>
      <c r="F435" s="17">
        <v>2846.37</v>
      </c>
      <c r="G435" s="10" t="str">
        <f>VLOOKUP(Table11[[#This Row],[Store]],'Rates from Tracker'!A:B,2,0)</f>
        <v>Ralston Creek</v>
      </c>
      <c r="H435" t="str">
        <f>VLOOKUP(D435,'Rates from Tracker'!A:C,3,0)</f>
        <v>Best Pizza LLC</v>
      </c>
      <c r="I435" t="str">
        <f>VLOOKUP(Table11[[#This Row],[Franchisee]],'Rates from Tracker'!C:D,2,0)</f>
        <v>Merullo</v>
      </c>
      <c r="J435" s="10">
        <f>ROUND(IF(Table11[[#This Row],[Location]]="Belmont Market",Table11[[#This Row],[Column2]]*0.01,IF(Table11[[#This Row],[Location]]="Country Club Centre",Table11[[#This Row],[Column2]]*0.01,IF(Table11[[#This Row],[Location]]="Naval Air Station Norfolk",Table11[[#This Row],[Column2]]*0.005,F435*0.02))),2)</f>
        <v>56.93</v>
      </c>
      <c r="K43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35" s="11">
        <f t="shared" si="14"/>
        <v>142.32</v>
      </c>
      <c r="M435" s="10">
        <f t="shared" si="15"/>
        <v>199.25</v>
      </c>
    </row>
    <row r="436" spans="2:13" x14ac:dyDescent="0.25">
      <c r="B436" s="127">
        <v>46266</v>
      </c>
      <c r="C436" s="16">
        <v>413</v>
      </c>
      <c r="D436" s="16" t="s">
        <v>322</v>
      </c>
      <c r="E436" s="17">
        <v>1118.23</v>
      </c>
      <c r="F436" s="17">
        <v>1088.78</v>
      </c>
      <c r="G436" s="10" t="str">
        <f>VLOOKUP(Table11[[#This Row],[Store]],'Rates from Tracker'!A:B,2,0)</f>
        <v>Madison</v>
      </c>
      <c r="H436" t="str">
        <f>VLOOKUP(D436,'Rates from Tracker'!A:C,3,0)</f>
        <v>APizza Delight Inc</v>
      </c>
      <c r="I436" t="str">
        <f>VLOOKUP(Table11[[#This Row],[Franchisee]],'Rates from Tracker'!C:D,2,0)</f>
        <v>Patel</v>
      </c>
      <c r="J436" s="10">
        <f>ROUND(IF(Table11[[#This Row],[Location]]="Belmont Market",Table11[[#This Row],[Column2]]*0.01,IF(Table11[[#This Row],[Location]]="Country Club Centre",Table11[[#This Row],[Column2]]*0.01,IF(Table11[[#This Row],[Location]]="Naval Air Station Norfolk",Table11[[#This Row],[Column2]]*0.005,F436*0.02))),2)</f>
        <v>21.78</v>
      </c>
      <c r="K43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36" s="11">
        <f t="shared" si="14"/>
        <v>10.89</v>
      </c>
      <c r="M436" s="10">
        <f t="shared" si="15"/>
        <v>32.67</v>
      </c>
    </row>
    <row r="437" spans="2:13" x14ac:dyDescent="0.25">
      <c r="B437" s="127">
        <v>46266</v>
      </c>
      <c r="C437" s="16">
        <v>421</v>
      </c>
      <c r="D437" s="16" t="s">
        <v>575</v>
      </c>
      <c r="E437" s="17">
        <v>2193.08</v>
      </c>
      <c r="F437" s="17">
        <v>2162.8000000000002</v>
      </c>
      <c r="G437" s="10" t="str">
        <f>VLOOKUP(Table11[[#This Row],[Store]],'Rates from Tracker'!A:B,2,0)</f>
        <v>Fort Union</v>
      </c>
      <c r="H437" t="str">
        <f>VLOOKUP(D437,'Rates from Tracker'!A:C,3,0)</f>
        <v>SSR Holdings LLC</v>
      </c>
      <c r="I437" t="str">
        <f>VLOOKUP(Table11[[#This Row],[Franchisee]],'Rates from Tracker'!C:D,2,0)</f>
        <v>Bikram</v>
      </c>
      <c r="J437" s="10">
        <f>ROUND(IF(Table11[[#This Row],[Location]]="Belmont Market",Table11[[#This Row],[Column2]]*0.01,IF(Table11[[#This Row],[Location]]="Country Club Centre",Table11[[#This Row],[Column2]]*0.01,IF(Table11[[#This Row],[Location]]="Naval Air Station Norfolk",Table11[[#This Row],[Column2]]*0.005,F437*0.02))),2)</f>
        <v>43.26</v>
      </c>
      <c r="K43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37" s="11">
        <f t="shared" si="14"/>
        <v>21.63</v>
      </c>
      <c r="M437" s="10">
        <f t="shared" si="15"/>
        <v>64.89</v>
      </c>
    </row>
    <row r="438" spans="2:13" x14ac:dyDescent="0.25">
      <c r="B438" s="127">
        <v>46266</v>
      </c>
      <c r="C438" s="16">
        <v>425</v>
      </c>
      <c r="D438" s="16" t="s">
        <v>381</v>
      </c>
      <c r="E438" s="17">
        <v>2322.04</v>
      </c>
      <c r="F438" s="17">
        <v>2243.9699999999998</v>
      </c>
      <c r="G438" s="10" t="str">
        <f>VLOOKUP(Table11[[#This Row],[Store]],'Rates from Tracker'!A:B,2,0)</f>
        <v>Crown Point</v>
      </c>
      <c r="H438" t="str">
        <f>VLOOKUP(D438,'Rates from Tracker'!A:C,3,0)</f>
        <v>Best Pizza LLC</v>
      </c>
      <c r="I438" t="str">
        <f>VLOOKUP(Table11[[#This Row],[Franchisee]],'Rates from Tracker'!C:D,2,0)</f>
        <v>Merullo</v>
      </c>
      <c r="J438" s="10">
        <f>ROUND(IF(Table11[[#This Row],[Location]]="Belmont Market",Table11[[#This Row],[Column2]]*0.01,IF(Table11[[#This Row],[Location]]="Country Club Centre",Table11[[#This Row],[Column2]]*0.01,IF(Table11[[#This Row],[Location]]="Naval Air Station Norfolk",Table11[[#This Row],[Column2]]*0.005,F438*0.02))),2)</f>
        <v>44.88</v>
      </c>
      <c r="K43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38" s="11">
        <f t="shared" si="14"/>
        <v>112.2</v>
      </c>
      <c r="M438" s="10">
        <f t="shared" si="15"/>
        <v>157.08000000000001</v>
      </c>
    </row>
    <row r="439" spans="2:13" x14ac:dyDescent="0.25">
      <c r="B439" s="127">
        <v>46266</v>
      </c>
      <c r="C439" s="16">
        <v>429</v>
      </c>
      <c r="D439" s="16" t="s">
        <v>587</v>
      </c>
      <c r="E439" s="17">
        <v>1608.98</v>
      </c>
      <c r="F439" s="17">
        <v>1590.58</v>
      </c>
      <c r="G439" s="10" t="str">
        <f>VLOOKUP(Table11[[#This Row],[Store]],'Rates from Tracker'!A:B,2,0)</f>
        <v>South Jordan</v>
      </c>
      <c r="H439" t="str">
        <f>VLOOKUP(D439,'Rates from Tracker'!A:C,3,0)</f>
        <v>SSR Holdings LLC</v>
      </c>
      <c r="I439" t="str">
        <f>VLOOKUP(Table11[[#This Row],[Franchisee]],'Rates from Tracker'!C:D,2,0)</f>
        <v>Bikram</v>
      </c>
      <c r="J439" s="10">
        <f>ROUND(IF(Table11[[#This Row],[Location]]="Belmont Market",Table11[[#This Row],[Column2]]*0.01,IF(Table11[[#This Row],[Location]]="Country Club Centre",Table11[[#This Row],[Column2]]*0.01,IF(Table11[[#This Row],[Location]]="Naval Air Station Norfolk",Table11[[#This Row],[Column2]]*0.005,F439*0.02))),2)</f>
        <v>31.81</v>
      </c>
      <c r="K43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39" s="11">
        <f t="shared" si="14"/>
        <v>15.91</v>
      </c>
      <c r="M439" s="10">
        <f t="shared" si="15"/>
        <v>47.72</v>
      </c>
    </row>
    <row r="440" spans="2:13" x14ac:dyDescent="0.25">
      <c r="B440" s="127">
        <v>46266</v>
      </c>
      <c r="C440" s="16">
        <v>433</v>
      </c>
      <c r="D440" s="16" t="s">
        <v>576</v>
      </c>
      <c r="E440" s="17">
        <v>2043.18</v>
      </c>
      <c r="F440" s="17">
        <v>1944.28</v>
      </c>
      <c r="G440" s="10" t="str">
        <f>VLOOKUP(Table11[[#This Row],[Store]],'Rates from Tracker'!A:B,2,0)</f>
        <v>Grants Pass</v>
      </c>
      <c r="H440" t="str">
        <f>VLOOKUP(D440,'Rates from Tracker'!A:C,3,0)</f>
        <v>SSR Holdings LLC</v>
      </c>
      <c r="I440" t="str">
        <f>VLOOKUP(Table11[[#This Row],[Franchisee]],'Rates from Tracker'!C:D,2,0)</f>
        <v>Bikram</v>
      </c>
      <c r="J440" s="10">
        <f>ROUND(IF(Table11[[#This Row],[Location]]="Belmont Market",Table11[[#This Row],[Column2]]*0.01,IF(Table11[[#This Row],[Location]]="Country Club Centre",Table11[[#This Row],[Column2]]*0.01,IF(Table11[[#This Row],[Location]]="Naval Air Station Norfolk",Table11[[#This Row],[Column2]]*0.005,F440*0.02))),2)</f>
        <v>38.89</v>
      </c>
      <c r="K44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40" s="11">
        <f t="shared" si="14"/>
        <v>19.440000000000001</v>
      </c>
      <c r="M440" s="10">
        <f t="shared" si="15"/>
        <v>58.33</v>
      </c>
    </row>
    <row r="441" spans="2:13" x14ac:dyDescent="0.25">
      <c r="B441" s="127">
        <v>46266</v>
      </c>
      <c r="C441" s="16">
        <v>452</v>
      </c>
      <c r="D441" s="16" t="s">
        <v>346</v>
      </c>
      <c r="E441" s="17">
        <v>1111.51</v>
      </c>
      <c r="F441" s="17">
        <v>1106.1099999999999</v>
      </c>
      <c r="G441" s="10" t="str">
        <f>VLOOKUP(Table11[[#This Row],[Store]],'Rates from Tracker'!A:B,2,0)</f>
        <v>Mobile</v>
      </c>
      <c r="H441" t="str">
        <f>VLOOKUP(D441,'Rates from Tracker'!A:C,3,0)</f>
        <v>MAA MELDI 3980 Inc</v>
      </c>
      <c r="I441" t="str">
        <f>VLOOKUP(Table11[[#This Row],[Franchisee]],'Rates from Tracker'!C:D,2,0)</f>
        <v>Neal Patel</v>
      </c>
      <c r="J441" s="10">
        <f>ROUND(IF(Table11[[#This Row],[Location]]="Belmont Market",Table11[[#This Row],[Column2]]*0.01,IF(Table11[[#This Row],[Location]]="Country Club Centre",Table11[[#This Row],[Column2]]*0.01,IF(Table11[[#This Row],[Location]]="Naval Air Station Norfolk",Table11[[#This Row],[Column2]]*0.005,F441*0.02))),2)</f>
        <v>22.12</v>
      </c>
      <c r="K44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41" s="11">
        <f t="shared" si="14"/>
        <v>11.06</v>
      </c>
      <c r="M441" s="10">
        <f t="shared" si="15"/>
        <v>33.18</v>
      </c>
    </row>
    <row r="442" spans="2:13" x14ac:dyDescent="0.25">
      <c r="B442" s="127">
        <v>46266</v>
      </c>
      <c r="C442" s="16">
        <v>478</v>
      </c>
      <c r="D442" s="16" t="s">
        <v>581</v>
      </c>
      <c r="E442" s="17">
        <v>1346.34</v>
      </c>
      <c r="F442" s="17">
        <v>1333.2</v>
      </c>
      <c r="G442" s="10" t="str">
        <f>VLOOKUP(Table11[[#This Row],[Store]],'Rates from Tracker'!A:B,2,0)</f>
        <v>Pocatello</v>
      </c>
      <c r="H442" t="str">
        <f>VLOOKUP(D442,'Rates from Tracker'!A:C,3,0)</f>
        <v>SSR Holdings LLC</v>
      </c>
      <c r="I442" t="str">
        <f>VLOOKUP(Table11[[#This Row],[Franchisee]],'Rates from Tracker'!C:D,2,0)</f>
        <v>Bikram</v>
      </c>
      <c r="J442" s="10">
        <f>ROUND(IF(Table11[[#This Row],[Location]]="Belmont Market",Table11[[#This Row],[Column2]]*0.01,IF(Table11[[#This Row],[Location]]="Country Club Centre",Table11[[#This Row],[Column2]]*0.01,IF(Table11[[#This Row],[Location]]="Naval Air Station Norfolk",Table11[[#This Row],[Column2]]*0.005,F442*0.02))),2)</f>
        <v>26.66</v>
      </c>
      <c r="K44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42" s="11">
        <f t="shared" si="14"/>
        <v>13.33</v>
      </c>
      <c r="M442" s="10">
        <f t="shared" si="15"/>
        <v>39.99</v>
      </c>
    </row>
    <row r="443" spans="2:13" x14ac:dyDescent="0.25">
      <c r="B443" s="127">
        <v>46266</v>
      </c>
      <c r="C443" s="16">
        <v>514</v>
      </c>
      <c r="D443" s="16" t="s">
        <v>589</v>
      </c>
      <c r="E443" s="17">
        <v>1925.58</v>
      </c>
      <c r="F443" s="17">
        <v>1793.45</v>
      </c>
      <c r="G443" s="10" t="str">
        <f>VLOOKUP(Table11[[#This Row],[Store]],'Rates from Tracker'!A:B,2,0)</f>
        <v>Spanish Fork</v>
      </c>
      <c r="H443" t="str">
        <f>VLOOKUP(D443,'Rates from Tracker'!A:C,3,0)</f>
        <v>SSR Holdings LLC</v>
      </c>
      <c r="I443" t="str">
        <f>VLOOKUP(Table11[[#This Row],[Franchisee]],'Rates from Tracker'!C:D,2,0)</f>
        <v>Bikram</v>
      </c>
      <c r="J443" s="10">
        <f>ROUND(IF(Table11[[#This Row],[Location]]="Belmont Market",Table11[[#This Row],[Column2]]*0.01,IF(Table11[[#This Row],[Location]]="Country Club Centre",Table11[[#This Row],[Column2]]*0.01,IF(Table11[[#This Row],[Location]]="Naval Air Station Norfolk",Table11[[#This Row],[Column2]]*0.005,F443*0.02))),2)</f>
        <v>35.869999999999997</v>
      </c>
      <c r="K44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43" s="11">
        <f t="shared" si="14"/>
        <v>17.93</v>
      </c>
      <c r="M443" s="10">
        <f t="shared" si="15"/>
        <v>53.8</v>
      </c>
    </row>
    <row r="444" spans="2:13" x14ac:dyDescent="0.25">
      <c r="B444" s="127">
        <v>46266</v>
      </c>
      <c r="C444" s="16">
        <v>515</v>
      </c>
      <c r="D444" s="16" t="s">
        <v>574</v>
      </c>
      <c r="E444" s="17">
        <v>1707.01</v>
      </c>
      <c r="F444" s="17">
        <v>1675.49</v>
      </c>
      <c r="G444" s="10" t="str">
        <f>VLOOKUP(Table11[[#This Row],[Store]],'Rates from Tracker'!A:B,2,0)</f>
        <v>Downtown Boise</v>
      </c>
      <c r="H444" t="str">
        <f>VLOOKUP(D444,'Rates from Tracker'!A:C,3,0)</f>
        <v>SSR Holdings LLC</v>
      </c>
      <c r="I444" t="str">
        <f>VLOOKUP(Table11[[#This Row],[Franchisee]],'Rates from Tracker'!C:D,2,0)</f>
        <v>Bikram</v>
      </c>
      <c r="J444" s="10">
        <f>ROUND(IF(Table11[[#This Row],[Location]]="Belmont Market",Table11[[#This Row],[Column2]]*0.01,IF(Table11[[#This Row],[Location]]="Country Club Centre",Table11[[#This Row],[Column2]]*0.01,IF(Table11[[#This Row],[Location]]="Naval Air Station Norfolk",Table11[[#This Row],[Column2]]*0.005,F444*0.02))),2)</f>
        <v>33.51</v>
      </c>
      <c r="K44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44" s="11">
        <f t="shared" si="14"/>
        <v>16.75</v>
      </c>
      <c r="M444" s="10">
        <f t="shared" si="15"/>
        <v>50.26</v>
      </c>
    </row>
    <row r="445" spans="2:13" x14ac:dyDescent="0.25">
      <c r="B445" s="127">
        <v>46266</v>
      </c>
      <c r="C445" s="16">
        <v>521</v>
      </c>
      <c r="D445" s="16" t="s">
        <v>573</v>
      </c>
      <c r="E445" s="17">
        <v>1561.3</v>
      </c>
      <c r="F445" s="17">
        <v>1547.23</v>
      </c>
      <c r="G445" s="10" t="str">
        <f>VLOOKUP(Table11[[#This Row],[Store]],'Rates from Tracker'!A:B,2,0)</f>
        <v>Boise Town Square</v>
      </c>
      <c r="H445" t="str">
        <f>VLOOKUP(D445,'Rates from Tracker'!A:C,3,0)</f>
        <v>SSR Holdings LLC</v>
      </c>
      <c r="I445" t="str">
        <f>VLOOKUP(Table11[[#This Row],[Franchisee]],'Rates from Tracker'!C:D,2,0)</f>
        <v>Bikram</v>
      </c>
      <c r="J445" s="10">
        <f>ROUND(IF(Table11[[#This Row],[Location]]="Belmont Market",Table11[[#This Row],[Column2]]*0.01,IF(Table11[[#This Row],[Location]]="Country Club Centre",Table11[[#This Row],[Column2]]*0.01,IF(Table11[[#This Row],[Location]]="Naval Air Station Norfolk",Table11[[#This Row],[Column2]]*0.005,F445*0.02))),2)</f>
        <v>30.94</v>
      </c>
      <c r="K44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45" s="11">
        <f t="shared" si="14"/>
        <v>15.47</v>
      </c>
      <c r="M445" s="10">
        <f t="shared" si="15"/>
        <v>46.410000000000004</v>
      </c>
    </row>
    <row r="446" spans="2:13" x14ac:dyDescent="0.25">
      <c r="B446" s="127">
        <v>46266</v>
      </c>
      <c r="C446" s="16">
        <v>586</v>
      </c>
      <c r="D446" s="16" t="s">
        <v>453</v>
      </c>
      <c r="E446" s="17">
        <v>3178</v>
      </c>
      <c r="F446" s="17">
        <v>3146.37</v>
      </c>
      <c r="G446" s="10" t="str">
        <f>VLOOKUP(Table11[[#This Row],[Store]],'Rates from Tracker'!A:B,2,0)</f>
        <v>Johnstown</v>
      </c>
      <c r="H446" t="str">
        <f>VLOOKUP(D446,'Rates from Tracker'!A:C,3,0)</f>
        <v>Best Pizza LLC</v>
      </c>
      <c r="I446" t="str">
        <f>VLOOKUP(Table11[[#This Row],[Franchisee]],'Rates from Tracker'!C:D,2,0)</f>
        <v>Merullo</v>
      </c>
      <c r="J446" s="10">
        <f>ROUND(IF(Table11[[#This Row],[Location]]="Belmont Market",Table11[[#This Row],[Column2]]*0.01,IF(Table11[[#This Row],[Location]]="Country Club Centre",Table11[[#This Row],[Column2]]*0.01,IF(Table11[[#This Row],[Location]]="Naval Air Station Norfolk",Table11[[#This Row],[Column2]]*0.005,F446*0.02))),2)</f>
        <v>62.93</v>
      </c>
      <c r="K44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46" s="11">
        <f t="shared" si="14"/>
        <v>157.32</v>
      </c>
      <c r="M446" s="10">
        <f t="shared" si="15"/>
        <v>220.25</v>
      </c>
    </row>
    <row r="447" spans="2:13" x14ac:dyDescent="0.25">
      <c r="B447" s="127">
        <v>46266</v>
      </c>
      <c r="C447" s="16">
        <v>605</v>
      </c>
      <c r="D447" s="16" t="s">
        <v>501</v>
      </c>
      <c r="E447" s="17">
        <v>2293.15</v>
      </c>
      <c r="F447" s="17">
        <v>2237.1999999999998</v>
      </c>
      <c r="G447" s="10" t="str">
        <f>VLOOKUP(Table11[[#This Row],[Store]],'Rates from Tracker'!A:B,2,0)</f>
        <v>Campus Oaks</v>
      </c>
      <c r="H447" t="str">
        <f>VLOOKUP(D447,'Rates from Tracker'!A:C,3,0)</f>
        <v>Exceed Group Campus Oaks</v>
      </c>
      <c r="I447" t="str">
        <f>VLOOKUP(Table11[[#This Row],[Franchisee]],'Rates from Tracker'!C:D,2,0)</f>
        <v>Chawla</v>
      </c>
      <c r="J447" s="10">
        <f>ROUND(IF(Table11[[#This Row],[Location]]="Belmont Market",Table11[[#This Row],[Column2]]*0.01,IF(Table11[[#This Row],[Location]]="Country Club Centre",Table11[[#This Row],[Column2]]*0.01,IF(Table11[[#This Row],[Location]]="Naval Air Station Norfolk",Table11[[#This Row],[Column2]]*0.005,F447*0.02))),2)</f>
        <v>44.74</v>
      </c>
      <c r="K44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47" s="11">
        <f t="shared" si="14"/>
        <v>111.86</v>
      </c>
      <c r="M447" s="10">
        <f t="shared" si="15"/>
        <v>156.6</v>
      </c>
    </row>
    <row r="448" spans="2:13" x14ac:dyDescent="0.25">
      <c r="B448" s="127">
        <v>46266</v>
      </c>
      <c r="C448" s="16">
        <v>607</v>
      </c>
      <c r="D448" s="16" t="s">
        <v>481</v>
      </c>
      <c r="E448" s="17">
        <v>2495.17</v>
      </c>
      <c r="F448" s="17">
        <v>2454.23</v>
      </c>
      <c r="G448" s="10" t="str">
        <f>VLOOKUP(Table11[[#This Row],[Store]],'Rates from Tracker'!A:B,2,0)</f>
        <v>Tower</v>
      </c>
      <c r="H448" t="str">
        <f>VLOOKUP(D448,'Rates from Tracker'!A:C,3,0)</f>
        <v>Best Pizza LLC</v>
      </c>
      <c r="I448" t="str">
        <f>VLOOKUP(Table11[[#This Row],[Franchisee]],'Rates from Tracker'!C:D,2,0)</f>
        <v>Merullo</v>
      </c>
      <c r="J448" s="10">
        <f>ROUND(IF(Table11[[#This Row],[Location]]="Belmont Market",Table11[[#This Row],[Column2]]*0.01,IF(Table11[[#This Row],[Location]]="Country Club Centre",Table11[[#This Row],[Column2]]*0.01,IF(Table11[[#This Row],[Location]]="Naval Air Station Norfolk",Table11[[#This Row],[Column2]]*0.005,F448*0.02))),2)</f>
        <v>49.08</v>
      </c>
      <c r="K44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48" s="11">
        <f t="shared" si="14"/>
        <v>122.71</v>
      </c>
      <c r="M448" s="10">
        <f t="shared" si="15"/>
        <v>171.79</v>
      </c>
    </row>
    <row r="449" spans="2:13" x14ac:dyDescent="0.25">
      <c r="B449" s="127">
        <v>46266</v>
      </c>
      <c r="C449" s="16">
        <v>608</v>
      </c>
      <c r="D449" s="16" t="s">
        <v>488</v>
      </c>
      <c r="E449" s="17">
        <v>2620.46</v>
      </c>
      <c r="F449" s="17">
        <v>2570.5300000000002</v>
      </c>
      <c r="G449" s="10" t="str">
        <f>VLOOKUP(Table11[[#This Row],[Store]],'Rates from Tracker'!A:B,2,0)</f>
        <v>Sheridan Parkway</v>
      </c>
      <c r="H449" t="str">
        <f>VLOOKUP(D449,'Rates from Tracker'!A:C,3,0)</f>
        <v>Best Pizza LLC</v>
      </c>
      <c r="I449" t="str">
        <f>VLOOKUP(Table11[[#This Row],[Franchisee]],'Rates from Tracker'!C:D,2,0)</f>
        <v>Merullo</v>
      </c>
      <c r="J449" s="10">
        <f>ROUND(IF(Table11[[#This Row],[Location]]="Belmont Market",Table11[[#This Row],[Column2]]*0.01,IF(Table11[[#This Row],[Location]]="Country Club Centre",Table11[[#This Row],[Column2]]*0.01,IF(Table11[[#This Row],[Location]]="Naval Air Station Norfolk",Table11[[#This Row],[Column2]]*0.005,F449*0.02))),2)</f>
        <v>51.41</v>
      </c>
      <c r="K44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49" s="11">
        <f t="shared" si="14"/>
        <v>128.53</v>
      </c>
      <c r="M449" s="10">
        <f t="shared" si="15"/>
        <v>179.94</v>
      </c>
    </row>
    <row r="450" spans="2:13" x14ac:dyDescent="0.25">
      <c r="B450" s="127">
        <v>46266</v>
      </c>
      <c r="C450" s="16">
        <v>616</v>
      </c>
      <c r="D450" s="16" t="s">
        <v>480</v>
      </c>
      <c r="E450" s="17">
        <v>2309.29</v>
      </c>
      <c r="F450" s="17">
        <v>2277.33</v>
      </c>
      <c r="G450" s="10" t="str">
        <f>VLOOKUP(Table11[[#This Row],[Store]],'Rates from Tracker'!A:B,2,0)</f>
        <v>Eureka</v>
      </c>
      <c r="H450" t="str">
        <f>VLOOKUP(D450,'Rates from Tracker'!A:C,3,0)</f>
        <v>Exceed Group Eureka</v>
      </c>
      <c r="I450" t="str">
        <f>VLOOKUP(Table11[[#This Row],[Franchisee]],'Rates from Tracker'!C:D,2,0)</f>
        <v>Chawla</v>
      </c>
      <c r="J450" s="10">
        <f>ROUND(IF(Table11[[#This Row],[Location]]="Belmont Market",Table11[[#This Row],[Column2]]*0.01,IF(Table11[[#This Row],[Location]]="Country Club Centre",Table11[[#This Row],[Column2]]*0.01,IF(Table11[[#This Row],[Location]]="Naval Air Station Norfolk",Table11[[#This Row],[Column2]]*0.005,F450*0.02))),2)</f>
        <v>45.55</v>
      </c>
      <c r="K45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50" s="11">
        <f t="shared" si="14"/>
        <v>113.87</v>
      </c>
      <c r="M450" s="10">
        <f t="shared" si="15"/>
        <v>159.42000000000002</v>
      </c>
    </row>
    <row r="451" spans="2:13" x14ac:dyDescent="0.25">
      <c r="B451" s="127">
        <v>46266</v>
      </c>
      <c r="C451" s="16">
        <v>617</v>
      </c>
      <c r="D451" s="16" t="s">
        <v>494</v>
      </c>
      <c r="E451" s="17">
        <v>1598.65</v>
      </c>
      <c r="F451" s="17">
        <v>1547.84</v>
      </c>
      <c r="G451" s="10" t="str">
        <f>VLOOKUP(Table11[[#This Row],[Store]],'Rates from Tracker'!A:B,2,0)</f>
        <v>Lowry</v>
      </c>
      <c r="H451" t="str">
        <f>VLOOKUP(D451,'Rates from Tracker'!A:C,3,0)</f>
        <v>Best Pizza LLC</v>
      </c>
      <c r="I451" t="str">
        <f>VLOOKUP(Table11[[#This Row],[Franchisee]],'Rates from Tracker'!C:D,2,0)</f>
        <v>Merullo</v>
      </c>
      <c r="J451" s="10">
        <f>ROUND(IF(Table11[[#This Row],[Location]]="Belmont Market",Table11[[#This Row],[Column2]]*0.01,IF(Table11[[#This Row],[Location]]="Country Club Centre",Table11[[#This Row],[Column2]]*0.01,IF(Table11[[#This Row],[Location]]="Naval Air Station Norfolk",Table11[[#This Row],[Column2]]*0.005,F451*0.02))),2)</f>
        <v>30.96</v>
      </c>
      <c r="K45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51" s="11">
        <f t="shared" si="14"/>
        <v>77.39</v>
      </c>
      <c r="M451" s="10">
        <f t="shared" si="15"/>
        <v>108.35</v>
      </c>
    </row>
    <row r="452" spans="2:13" x14ac:dyDescent="0.25">
      <c r="B452" s="127">
        <v>46266</v>
      </c>
      <c r="C452" s="16">
        <v>648</v>
      </c>
      <c r="D452" s="16" t="s">
        <v>454</v>
      </c>
      <c r="E452" s="17">
        <v>1728.42</v>
      </c>
      <c r="F452" s="17">
        <v>1635.68</v>
      </c>
      <c r="G452" s="10" t="str">
        <f>VLOOKUP(Table11[[#This Row],[Store]],'Rates from Tracker'!A:B,2,0)</f>
        <v>Belmont Market</v>
      </c>
      <c r="H452" t="str">
        <f>VLOOKUP(D452,'Rates from Tracker'!A:C,3,0)</f>
        <v>V.I. Pizza Belmont</v>
      </c>
      <c r="I452" t="str">
        <f>VLOOKUP(Table11[[#This Row],[Franchisee]],'Rates from Tracker'!C:D,2,0)</f>
        <v>Hayden</v>
      </c>
      <c r="J452" s="10">
        <f>ROUND(IF(Table11[[#This Row],[Location]]="Belmont Market",Table11[[#This Row],[Column2]]*0.01,IF(Table11[[#This Row],[Location]]="Country Club Centre",Table11[[#This Row],[Column2]]*0.01,IF(Table11[[#This Row],[Location]]="Naval Air Station Norfolk",Table11[[#This Row],[Column2]]*0.005,F452*0.02))),2)</f>
        <v>16.36</v>
      </c>
      <c r="K45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452" s="11">
        <f t="shared" si="14"/>
        <v>32.71</v>
      </c>
      <c r="M452" s="10">
        <f t="shared" si="15"/>
        <v>49.07</v>
      </c>
    </row>
    <row r="453" spans="2:13" x14ac:dyDescent="0.25">
      <c r="B453" s="127">
        <v>46266</v>
      </c>
      <c r="C453" s="16">
        <v>659</v>
      </c>
      <c r="D453" s="16" t="s">
        <v>570</v>
      </c>
      <c r="E453" s="17">
        <v>1156.79</v>
      </c>
      <c r="F453" s="17">
        <v>1127.1199999999999</v>
      </c>
      <c r="G453" s="10" t="str">
        <f>VLOOKUP(Table11[[#This Row],[Store]],'Rates from Tracker'!A:B,2,0)</f>
        <v>Ammon</v>
      </c>
      <c r="H453" t="str">
        <f>VLOOKUP(D453,'Rates from Tracker'!A:C,3,0)</f>
        <v>SSR Holdings LLC</v>
      </c>
      <c r="I453" t="str">
        <f>VLOOKUP(Table11[[#This Row],[Franchisee]],'Rates from Tracker'!C:D,2,0)</f>
        <v>Bikram</v>
      </c>
      <c r="J453" s="10">
        <f>ROUND(IF(Table11[[#This Row],[Location]]="Belmont Market",Table11[[#This Row],[Column2]]*0.01,IF(Table11[[#This Row],[Location]]="Country Club Centre",Table11[[#This Row],[Column2]]*0.01,IF(Table11[[#This Row],[Location]]="Naval Air Station Norfolk",Table11[[#This Row],[Column2]]*0.005,F453*0.02))),2)</f>
        <v>22.54</v>
      </c>
      <c r="K45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53" s="11">
        <f t="shared" ref="L453:L516" si="16">ROUND(F453*K453,2)</f>
        <v>11.27</v>
      </c>
      <c r="M453" s="10">
        <f t="shared" ref="M453:M516" si="17">J453+L453</f>
        <v>33.81</v>
      </c>
    </row>
    <row r="454" spans="2:13" x14ac:dyDescent="0.25">
      <c r="B454" s="127">
        <v>46266</v>
      </c>
      <c r="C454" s="16">
        <v>699</v>
      </c>
      <c r="D454" s="16" t="s">
        <v>521</v>
      </c>
      <c r="E454" s="17">
        <v>1875.81</v>
      </c>
      <c r="F454" s="17">
        <v>1865.83</v>
      </c>
      <c r="G454" s="10" t="str">
        <f>VLOOKUP(Table11[[#This Row],[Store]],'Rates from Tracker'!A:B,2,0)</f>
        <v>Grand Junction</v>
      </c>
      <c r="H454" t="str">
        <f>VLOOKUP(D454,'Rates from Tracker'!A:C,3,0)</f>
        <v>Best Pizza LLC</v>
      </c>
      <c r="I454" t="str">
        <f>VLOOKUP(Table11[[#This Row],[Franchisee]],'Rates from Tracker'!C:D,2,0)</f>
        <v>Merullo</v>
      </c>
      <c r="J454" s="10">
        <f>ROUND(IF(Table11[[#This Row],[Location]]="Belmont Market",Table11[[#This Row],[Column2]]*0.01,IF(Table11[[#This Row],[Location]]="Country Club Centre",Table11[[#This Row],[Column2]]*0.01,IF(Table11[[#This Row],[Location]]="Naval Air Station Norfolk",Table11[[#This Row],[Column2]]*0.005,F454*0.02))),2)</f>
        <v>37.32</v>
      </c>
      <c r="K45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54" s="11">
        <f t="shared" si="16"/>
        <v>93.29</v>
      </c>
      <c r="M454" s="10">
        <f t="shared" si="17"/>
        <v>130.61000000000001</v>
      </c>
    </row>
    <row r="455" spans="2:13" x14ac:dyDescent="0.25">
      <c r="B455" s="127">
        <v>46266</v>
      </c>
      <c r="C455" s="16">
        <v>711</v>
      </c>
      <c r="D455" s="16" t="s">
        <v>526</v>
      </c>
      <c r="E455" s="17">
        <v>1372.23</v>
      </c>
      <c r="F455" s="17">
        <v>1326.16</v>
      </c>
      <c r="G455" s="10" t="str">
        <f>VLOOKUP(Table11[[#This Row],[Store]],'Rates from Tracker'!A:B,2,0)</f>
        <v>Country Club Centre</v>
      </c>
      <c r="H455" t="str">
        <f>VLOOKUP(D455,'Rates from Tracker'!A:C,3,0)</f>
        <v>V.I. Pizza Country Club</v>
      </c>
      <c r="I455" t="str">
        <f>VLOOKUP(Table11[[#This Row],[Franchisee]],'Rates from Tracker'!C:D,2,0)</f>
        <v>Hayden</v>
      </c>
      <c r="J455" s="10">
        <f>ROUND(IF(Table11[[#This Row],[Location]]="Belmont Market",Table11[[#This Row],[Column2]]*0.01,IF(Table11[[#This Row],[Location]]="Country Club Centre",Table11[[#This Row],[Column2]]*0.01,IF(Table11[[#This Row],[Location]]="Naval Air Station Norfolk",Table11[[#This Row],[Column2]]*0.005,F455*0.02))),2)</f>
        <v>13.26</v>
      </c>
      <c r="K45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55" s="11">
        <f t="shared" si="16"/>
        <v>13.26</v>
      </c>
      <c r="M455" s="10">
        <f t="shared" si="17"/>
        <v>26.52</v>
      </c>
    </row>
    <row r="456" spans="2:13" x14ac:dyDescent="0.25">
      <c r="B456" s="127">
        <v>46266</v>
      </c>
      <c r="C456" s="16">
        <v>722</v>
      </c>
      <c r="D456" s="16" t="s">
        <v>535</v>
      </c>
      <c r="E456" s="17">
        <v>2127.64</v>
      </c>
      <c r="F456" s="17">
        <v>2065.96</v>
      </c>
      <c r="G456" s="10" t="str">
        <f>VLOOKUP(Table11[[#This Row],[Store]],'Rates from Tracker'!A:B,2,0)</f>
        <v>Creekwalk</v>
      </c>
      <c r="H456" t="str">
        <f>VLOOKUP(D456,'Rates from Tracker'!A:C,3,0)</f>
        <v>Best Pizza LLC</v>
      </c>
      <c r="I456" t="str">
        <f>VLOOKUP(Table11[[#This Row],[Franchisee]],'Rates from Tracker'!C:D,2,0)</f>
        <v>Merullo</v>
      </c>
      <c r="J456" s="10">
        <f>ROUND(IF(Table11[[#This Row],[Location]]="Belmont Market",Table11[[#This Row],[Column2]]*0.01,IF(Table11[[#This Row],[Location]]="Country Club Centre",Table11[[#This Row],[Column2]]*0.01,IF(Table11[[#This Row],[Location]]="Naval Air Station Norfolk",Table11[[#This Row],[Column2]]*0.005,F456*0.02))),2)</f>
        <v>41.32</v>
      </c>
      <c r="K45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456" s="11">
        <f t="shared" si="16"/>
        <v>41.32</v>
      </c>
      <c r="M456" s="10">
        <f t="shared" si="17"/>
        <v>82.64</v>
      </c>
    </row>
    <row r="457" spans="2:13" x14ac:dyDescent="0.25">
      <c r="B457" s="127">
        <v>46266</v>
      </c>
      <c r="C457" s="16">
        <v>731</v>
      </c>
      <c r="D457" s="16" t="s">
        <v>542</v>
      </c>
      <c r="E457" s="17">
        <v>87.27</v>
      </c>
      <c r="F457" s="17">
        <v>87.27</v>
      </c>
      <c r="G457" s="10" t="str">
        <f>VLOOKUP(Table11[[#This Row],[Store]],'Rates from Tracker'!A:B,2,0)</f>
        <v>Naval Air Station Norfolk</v>
      </c>
      <c r="H457" t="str">
        <f>VLOOKUP(D457,'Rates from Tracker'!A:C,3,0)</f>
        <v>IDAD-5 Inc</v>
      </c>
      <c r="I457" t="str">
        <f>VLOOKUP(Table11[[#This Row],[Franchisee]],'Rates from Tracker'!C:D,2,0)</f>
        <v>Ingenito</v>
      </c>
      <c r="J457" s="10">
        <f>ROUND(IF(Table11[[#This Row],[Location]]="Belmont Market",Table11[[#This Row],[Column2]]*0.01,IF(Table11[[#This Row],[Location]]="Country Club Centre",Table11[[#This Row],[Column2]]*0.01,IF(Table11[[#This Row],[Location]]="Naval Air Station Norfolk",Table11[[#This Row],[Column2]]*0.005,F457*0.02))),2)</f>
        <v>0.44</v>
      </c>
      <c r="K45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457" s="11">
        <f t="shared" si="16"/>
        <v>1.75</v>
      </c>
      <c r="M457" s="10">
        <f t="shared" si="17"/>
        <v>2.19</v>
      </c>
    </row>
    <row r="458" spans="2:13" x14ac:dyDescent="0.25">
      <c r="B458" s="127">
        <v>46266</v>
      </c>
      <c r="C458" s="16">
        <v>761</v>
      </c>
      <c r="D458" s="16" t="s">
        <v>584</v>
      </c>
      <c r="E458" s="17">
        <v>1300.69</v>
      </c>
      <c r="F458" s="17">
        <v>1273.3599999999999</v>
      </c>
      <c r="G458" s="10" t="str">
        <f>VLOOKUP(Table11[[#This Row],[Store]],'Rates from Tracker'!A:B,2,0)</f>
        <v>Roseburg</v>
      </c>
      <c r="H458" t="str">
        <f>VLOOKUP(D458,'Rates from Tracker'!A:C,3,0)</f>
        <v>SSR Holdings LLC</v>
      </c>
      <c r="I458" t="str">
        <f>VLOOKUP(Table11[[#This Row],[Franchisee]],'Rates from Tracker'!C:D,2,0)</f>
        <v>Bikram</v>
      </c>
      <c r="J458" s="10">
        <f>ROUND(IF(Table11[[#This Row],[Location]]="Belmont Market",Table11[[#This Row],[Column2]]*0.01,IF(Table11[[#This Row],[Location]]="Country Club Centre",Table11[[#This Row],[Column2]]*0.01,IF(Table11[[#This Row],[Location]]="Naval Air Station Norfolk",Table11[[#This Row],[Column2]]*0.005,F458*0.02))),2)</f>
        <v>25.47</v>
      </c>
      <c r="K45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58" s="11">
        <f t="shared" si="16"/>
        <v>12.73</v>
      </c>
      <c r="M458" s="10">
        <f t="shared" si="17"/>
        <v>38.200000000000003</v>
      </c>
    </row>
    <row r="459" spans="2:13" x14ac:dyDescent="0.25">
      <c r="B459" s="127">
        <v>46266</v>
      </c>
      <c r="C459" s="16">
        <v>777</v>
      </c>
      <c r="D459" s="16" t="s">
        <v>590</v>
      </c>
      <c r="E459" s="17">
        <v>1943.62</v>
      </c>
      <c r="F459" s="17">
        <v>1921.49</v>
      </c>
      <c r="G459" s="10" t="str">
        <f>VLOOKUP(Table11[[#This Row],[Store]],'Rates from Tracker'!A:B,2,0)</f>
        <v>Springfield-Oregon</v>
      </c>
      <c r="H459" t="str">
        <f>VLOOKUP(D459,'Rates from Tracker'!A:C,3,0)</f>
        <v>SSR Holdings LLC</v>
      </c>
      <c r="I459" t="str">
        <f>VLOOKUP(Table11[[#This Row],[Franchisee]],'Rates from Tracker'!C:D,2,0)</f>
        <v>Bikram</v>
      </c>
      <c r="J459" s="10">
        <f>ROUND(IF(Table11[[#This Row],[Location]]="Belmont Market",Table11[[#This Row],[Column2]]*0.01,IF(Table11[[#This Row],[Location]]="Country Club Centre",Table11[[#This Row],[Column2]]*0.01,IF(Table11[[#This Row],[Location]]="Naval Air Station Norfolk",Table11[[#This Row],[Column2]]*0.005,F459*0.02))),2)</f>
        <v>38.43</v>
      </c>
      <c r="K45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59" s="11">
        <f t="shared" si="16"/>
        <v>19.21</v>
      </c>
      <c r="M459" s="10">
        <f t="shared" si="17"/>
        <v>57.64</v>
      </c>
    </row>
    <row r="460" spans="2:13" x14ac:dyDescent="0.25">
      <c r="B460" s="127">
        <v>46266</v>
      </c>
      <c r="C460" s="16">
        <v>820</v>
      </c>
      <c r="D460" s="16" t="s">
        <v>538</v>
      </c>
      <c r="E460" s="17">
        <v>2839.69</v>
      </c>
      <c r="F460" s="17">
        <v>2730.57</v>
      </c>
      <c r="G460" s="10" t="str">
        <f>VLOOKUP(Table11[[#This Row],[Store]],'Rates from Tracker'!A:B,2,0)</f>
        <v>Churn Creek</v>
      </c>
      <c r="H460" t="str">
        <f>VLOOKUP(D460,'Rates from Tracker'!A:C,3,0)</f>
        <v>Exceed Group Churn Creek</v>
      </c>
      <c r="I460" t="str">
        <f>VLOOKUP(Table11[[#This Row],[Franchisee]],'Rates from Tracker'!C:D,2,0)</f>
        <v>Chawla</v>
      </c>
      <c r="J460" s="10">
        <f>ROUND(IF(Table11[[#This Row],[Location]]="Belmont Market",Table11[[#This Row],[Column2]]*0.01,IF(Table11[[#This Row],[Location]]="Country Club Centre",Table11[[#This Row],[Column2]]*0.01,IF(Table11[[#This Row],[Location]]="Naval Air Station Norfolk",Table11[[#This Row],[Column2]]*0.005,F460*0.02))),2)</f>
        <v>54.61</v>
      </c>
      <c r="K46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60" s="11">
        <f t="shared" si="16"/>
        <v>136.53</v>
      </c>
      <c r="M460" s="10">
        <f t="shared" si="17"/>
        <v>191.14</v>
      </c>
    </row>
    <row r="461" spans="2:13" x14ac:dyDescent="0.25">
      <c r="B461" s="127">
        <v>46265</v>
      </c>
      <c r="C461" s="16">
        <v>21</v>
      </c>
      <c r="D461" s="16" t="s">
        <v>29</v>
      </c>
      <c r="E461" s="17">
        <v>2263.09</v>
      </c>
      <c r="F461" s="17">
        <v>2231.14</v>
      </c>
      <c r="G461" s="10" t="str">
        <f>VLOOKUP(Table11[[#This Row],[Store]],'Rates from Tracker'!A:B,2,0)</f>
        <v>Park Meadows</v>
      </c>
      <c r="H461" t="str">
        <f>VLOOKUP(D461,'Rates from Tracker'!A:C,3,0)</f>
        <v>Best Pizza LLC</v>
      </c>
      <c r="I461" t="str">
        <f>VLOOKUP(Table11[[#This Row],[Franchisee]],'Rates from Tracker'!C:D,2,0)</f>
        <v>Merullo</v>
      </c>
      <c r="J461" s="10">
        <f>ROUND(IF(Table11[[#This Row],[Location]]="Belmont Market",Table11[[#This Row],[Column2]]*0.01,IF(Table11[[#This Row],[Location]]="Country Club Centre",Table11[[#This Row],[Column2]]*0.01,IF(Table11[[#This Row],[Location]]="Naval Air Station Norfolk",Table11[[#This Row],[Column2]]*0.005,F461*0.02))),2)</f>
        <v>44.62</v>
      </c>
      <c r="K46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61" s="11">
        <f t="shared" si="16"/>
        <v>111.56</v>
      </c>
      <c r="M461" s="10">
        <f t="shared" si="17"/>
        <v>156.18</v>
      </c>
    </row>
    <row r="462" spans="2:13" x14ac:dyDescent="0.25">
      <c r="B462" s="127">
        <v>46265</v>
      </c>
      <c r="C462" s="16">
        <v>47</v>
      </c>
      <c r="D462" s="16" t="s">
        <v>532</v>
      </c>
      <c r="E462" s="17">
        <v>3509.38</v>
      </c>
      <c r="F462" s="17">
        <v>3385.8199999999988</v>
      </c>
      <c r="G462" s="10" t="str">
        <f>VLOOKUP(Table11[[#This Row],[Store]],'Rates from Tracker'!A:B,2,0)</f>
        <v>REDDING</v>
      </c>
      <c r="H462" t="str">
        <f>VLOOKUP(D462,'Rates from Tracker'!A:C,3,0)</f>
        <v>Exceed Group REDDING</v>
      </c>
      <c r="I462" t="str">
        <f>VLOOKUP(Table11[[#This Row],[Franchisee]],'Rates from Tracker'!C:D,2,0)</f>
        <v>Chawla</v>
      </c>
      <c r="J462" s="10">
        <f>ROUND(IF(Table11[[#This Row],[Location]]="Belmont Market",Table11[[#This Row],[Column2]]*0.01,IF(Table11[[#This Row],[Location]]="Country Club Centre",Table11[[#This Row],[Column2]]*0.01,IF(Table11[[#This Row],[Location]]="Naval Air Station Norfolk",Table11[[#This Row],[Column2]]*0.005,F462*0.02))),2)</f>
        <v>67.72</v>
      </c>
      <c r="K46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62" s="11">
        <f t="shared" si="16"/>
        <v>169.29</v>
      </c>
      <c r="M462" s="10">
        <f t="shared" si="17"/>
        <v>237.01</v>
      </c>
    </row>
    <row r="463" spans="2:13" x14ac:dyDescent="0.25">
      <c r="B463" s="127">
        <v>46265</v>
      </c>
      <c r="C463" s="16">
        <v>55</v>
      </c>
      <c r="D463" s="16" t="s">
        <v>533</v>
      </c>
      <c r="E463" s="17">
        <v>1707.31</v>
      </c>
      <c r="F463" s="17">
        <v>1684.88</v>
      </c>
      <c r="G463" s="10" t="str">
        <f>VLOOKUP(Table11[[#This Row],[Store]],'Rates from Tracker'!A:B,2,0)</f>
        <v>ROCKLIN</v>
      </c>
      <c r="H463" t="str">
        <f>VLOOKUP(D463,'Rates from Tracker'!A:C,3,0)</f>
        <v>Exceed Group ROCKLIN</v>
      </c>
      <c r="I463" t="str">
        <f>VLOOKUP(Table11[[#This Row],[Franchisee]],'Rates from Tracker'!C:D,2,0)</f>
        <v>Chawla</v>
      </c>
      <c r="J463" s="10">
        <f>ROUND(IF(Table11[[#This Row],[Location]]="Belmont Market",Table11[[#This Row],[Column2]]*0.01,IF(Table11[[#This Row],[Location]]="Country Club Centre",Table11[[#This Row],[Column2]]*0.01,IF(Table11[[#This Row],[Location]]="Naval Air Station Norfolk",Table11[[#This Row],[Column2]]*0.005,F463*0.02))),2)</f>
        <v>33.700000000000003</v>
      </c>
      <c r="K46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63" s="11">
        <f t="shared" si="16"/>
        <v>84.24</v>
      </c>
      <c r="M463" s="10">
        <f t="shared" si="17"/>
        <v>117.94</v>
      </c>
    </row>
    <row r="464" spans="2:13" x14ac:dyDescent="0.25">
      <c r="B464" s="127">
        <v>46265</v>
      </c>
      <c r="C464" s="16">
        <v>56</v>
      </c>
      <c r="D464" s="16" t="s">
        <v>534</v>
      </c>
      <c r="E464" s="17">
        <v>2572.15</v>
      </c>
      <c r="F464" s="17">
        <v>2545.44</v>
      </c>
      <c r="G464" s="10" t="str">
        <f>VLOOKUP(Table11[[#This Row],[Store]],'Rates from Tracker'!A:B,2,0)</f>
        <v>LIVONIA</v>
      </c>
      <c r="H464" t="str">
        <f>VLOOKUP(D464,'Rates from Tracker'!A:C,3,0)</f>
        <v>TSFR Pizza LLC</v>
      </c>
      <c r="I464" t="str">
        <f>VLOOKUP(Table11[[#This Row],[Franchisee]],'Rates from Tracker'!C:D,2,0)</f>
        <v>Schostak</v>
      </c>
      <c r="J464" s="10">
        <f>ROUND(IF(Table11[[#This Row],[Location]]="Belmont Market",Table11[[#This Row],[Column2]]*0.01,IF(Table11[[#This Row],[Location]]="Country Club Centre",Table11[[#This Row],[Column2]]*0.01,IF(Table11[[#This Row],[Location]]="Naval Air Station Norfolk",Table11[[#This Row],[Column2]]*0.005,F464*0.02))),2)</f>
        <v>50.91</v>
      </c>
      <c r="K46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64" s="11">
        <f t="shared" si="16"/>
        <v>127.27</v>
      </c>
      <c r="M464" s="10">
        <f t="shared" si="17"/>
        <v>178.18</v>
      </c>
    </row>
    <row r="465" spans="2:13" x14ac:dyDescent="0.25">
      <c r="B465" s="127">
        <v>46265</v>
      </c>
      <c r="C465" s="16">
        <v>77</v>
      </c>
      <c r="D465" s="16" t="s">
        <v>11</v>
      </c>
      <c r="E465" s="17">
        <v>3086.9</v>
      </c>
      <c r="F465" s="17">
        <v>3030.11</v>
      </c>
      <c r="G465" s="10" t="str">
        <f>VLOOKUP(Table11[[#This Row],[Store]],'Rates from Tracker'!A:B,2,0)</f>
        <v>Falcon Landing</v>
      </c>
      <c r="H465" t="str">
        <f>VLOOKUP(D465,'Rates from Tracker'!A:C,3,0)</f>
        <v>Best Pizza LLC</v>
      </c>
      <c r="I465" t="str">
        <f>VLOOKUP(Table11[[#This Row],[Franchisee]],'Rates from Tracker'!C:D,2,0)</f>
        <v>Merullo</v>
      </c>
      <c r="J465" s="10">
        <f>ROUND(IF(Table11[[#This Row],[Location]]="Belmont Market",Table11[[#This Row],[Column2]]*0.01,IF(Table11[[#This Row],[Location]]="Country Club Centre",Table11[[#This Row],[Column2]]*0.01,IF(Table11[[#This Row],[Location]]="Naval Air Station Norfolk",Table11[[#This Row],[Column2]]*0.005,F465*0.02))),2)</f>
        <v>60.6</v>
      </c>
      <c r="K46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65" s="11">
        <f t="shared" si="16"/>
        <v>151.51</v>
      </c>
      <c r="M465" s="10">
        <f t="shared" si="17"/>
        <v>212.10999999999999</v>
      </c>
    </row>
    <row r="466" spans="2:13" x14ac:dyDescent="0.25">
      <c r="B466" s="127">
        <v>46265</v>
      </c>
      <c r="C466" s="16">
        <v>93</v>
      </c>
      <c r="D466" s="16" t="s">
        <v>5</v>
      </c>
      <c r="E466" s="17">
        <v>2213.0500000000002</v>
      </c>
      <c r="F466" s="17">
        <v>2099.73</v>
      </c>
      <c r="G466" s="10" t="str">
        <f>VLOOKUP(Table11[[#This Row],[Store]],'Rates from Tracker'!A:B,2,0)</f>
        <v>Brighton</v>
      </c>
      <c r="H466" t="str">
        <f>VLOOKUP(D466,'Rates from Tracker'!A:C,3,0)</f>
        <v>TSFR Pizza LLC</v>
      </c>
      <c r="I466" t="str">
        <f>VLOOKUP(Table11[[#This Row],[Franchisee]],'Rates from Tracker'!C:D,2,0)</f>
        <v>Schostak</v>
      </c>
      <c r="J466" s="10">
        <f>ROUND(IF(Table11[[#This Row],[Location]]="Belmont Market",Table11[[#This Row],[Column2]]*0.01,IF(Table11[[#This Row],[Location]]="Country Club Centre",Table11[[#This Row],[Column2]]*0.01,IF(Table11[[#This Row],[Location]]="Naval Air Station Norfolk",Table11[[#This Row],[Column2]]*0.005,F466*0.02))),2)</f>
        <v>41.99</v>
      </c>
      <c r="K46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66" s="11">
        <f t="shared" si="16"/>
        <v>104.99</v>
      </c>
      <c r="M466" s="10">
        <f t="shared" si="17"/>
        <v>146.97999999999999</v>
      </c>
    </row>
    <row r="467" spans="2:13" x14ac:dyDescent="0.25">
      <c r="B467" s="127">
        <v>46265</v>
      </c>
      <c r="C467" s="16">
        <v>94</v>
      </c>
      <c r="D467" s="16" t="s">
        <v>7</v>
      </c>
      <c r="E467" s="17">
        <v>2688.7</v>
      </c>
      <c r="F467" s="17">
        <v>2628.2500000000005</v>
      </c>
      <c r="G467" s="10" t="str">
        <f>VLOOKUP(Table11[[#This Row],[Store]],'Rates from Tracker'!A:B,2,0)</f>
        <v>Castle Rock</v>
      </c>
      <c r="H467" t="str">
        <f>VLOOKUP(D467,'Rates from Tracker'!A:C,3,0)</f>
        <v>Best Pizza LLC</v>
      </c>
      <c r="I467" t="str">
        <f>VLOOKUP(Table11[[#This Row],[Franchisee]],'Rates from Tracker'!C:D,2,0)</f>
        <v>Merullo</v>
      </c>
      <c r="J467" s="10">
        <f>ROUND(IF(Table11[[#This Row],[Location]]="Belmont Market",Table11[[#This Row],[Column2]]*0.01,IF(Table11[[#This Row],[Location]]="Country Club Centre",Table11[[#This Row],[Column2]]*0.01,IF(Table11[[#This Row],[Location]]="Naval Air Station Norfolk",Table11[[#This Row],[Column2]]*0.005,F467*0.02))),2)</f>
        <v>52.57</v>
      </c>
      <c r="K46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67" s="11">
        <f t="shared" si="16"/>
        <v>131.41</v>
      </c>
      <c r="M467" s="10">
        <f t="shared" si="17"/>
        <v>183.98</v>
      </c>
    </row>
    <row r="468" spans="2:13" x14ac:dyDescent="0.25">
      <c r="B468" s="127">
        <v>46265</v>
      </c>
      <c r="C468" s="16">
        <v>100</v>
      </c>
      <c r="D468" s="16" t="s">
        <v>17</v>
      </c>
      <c r="E468" s="17">
        <v>4341.38</v>
      </c>
      <c r="F468" s="17">
        <v>4228.1499999999996</v>
      </c>
      <c r="G468" s="10" t="str">
        <f>VLOOKUP(Table11[[#This Row],[Store]],'Rates from Tracker'!A:B,2,0)</f>
        <v>Howe Bout Arden</v>
      </c>
      <c r="H468" t="str">
        <f>VLOOKUP(D468,'Rates from Tracker'!A:C,3,0)</f>
        <v>Exceed Group Howe Bout Arden</v>
      </c>
      <c r="I468" t="str">
        <f>VLOOKUP(Table11[[#This Row],[Franchisee]],'Rates from Tracker'!C:D,2,0)</f>
        <v>Chawla</v>
      </c>
      <c r="J468" s="10">
        <f>ROUND(IF(Table11[[#This Row],[Location]]="Belmont Market",Table11[[#This Row],[Column2]]*0.01,IF(Table11[[#This Row],[Location]]="Country Club Centre",Table11[[#This Row],[Column2]]*0.01,IF(Table11[[#This Row],[Location]]="Naval Air Station Norfolk",Table11[[#This Row],[Column2]]*0.005,F468*0.02))),2)</f>
        <v>84.56</v>
      </c>
      <c r="K46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68" s="11">
        <f t="shared" si="16"/>
        <v>211.41</v>
      </c>
      <c r="M468" s="10">
        <f t="shared" si="17"/>
        <v>295.97000000000003</v>
      </c>
    </row>
    <row r="469" spans="2:13" x14ac:dyDescent="0.25">
      <c r="B469" s="127">
        <v>46265</v>
      </c>
      <c r="C469" s="16">
        <v>126</v>
      </c>
      <c r="D469" s="16" t="s">
        <v>571</v>
      </c>
      <c r="E469" s="17">
        <v>2859.06</v>
      </c>
      <c r="F469" s="17">
        <v>2850.52</v>
      </c>
      <c r="G469" s="10" t="str">
        <f>VLOOKUP(Table11[[#This Row],[Store]],'Rates from Tracker'!A:B,2,0)</f>
        <v>Bend</v>
      </c>
      <c r="H469" t="str">
        <f>VLOOKUP(D469,'Rates from Tracker'!A:C,3,0)</f>
        <v>SSR Holdings LLC</v>
      </c>
      <c r="I469" t="str">
        <f>VLOOKUP(Table11[[#This Row],[Franchisee]],'Rates from Tracker'!C:D,2,0)</f>
        <v>Bikram</v>
      </c>
      <c r="J469" s="10">
        <f>ROUND(IF(Table11[[#This Row],[Location]]="Belmont Market",Table11[[#This Row],[Column2]]*0.01,IF(Table11[[#This Row],[Location]]="Country Club Centre",Table11[[#This Row],[Column2]]*0.01,IF(Table11[[#This Row],[Location]]="Naval Air Station Norfolk",Table11[[#This Row],[Column2]]*0.005,F469*0.02))),2)</f>
        <v>57.01</v>
      </c>
      <c r="K46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69" s="11">
        <f t="shared" si="16"/>
        <v>28.51</v>
      </c>
      <c r="M469" s="10">
        <f t="shared" si="17"/>
        <v>85.52</v>
      </c>
    </row>
    <row r="470" spans="2:13" x14ac:dyDescent="0.25">
      <c r="B470" s="127">
        <v>46265</v>
      </c>
      <c r="C470" s="16">
        <v>133</v>
      </c>
      <c r="D470" s="16" t="s">
        <v>38</v>
      </c>
      <c r="E470" s="17">
        <v>2042.52</v>
      </c>
      <c r="F470" s="17">
        <v>2007.93</v>
      </c>
      <c r="G470" s="10" t="str">
        <f>VLOOKUP(Table11[[#This Row],[Store]],'Rates from Tracker'!A:B,2,0)</f>
        <v>Woodhill</v>
      </c>
      <c r="H470" t="str">
        <f>VLOOKUP(D470,'Rates from Tracker'!A:C,3,0)</f>
        <v>Rolling Dough LLC</v>
      </c>
      <c r="I470" t="str">
        <f>VLOOKUP(Table11[[#This Row],[Franchisee]],'Rates from Tracker'!C:D,2,0)</f>
        <v>Connolly</v>
      </c>
      <c r="J470" s="10">
        <f>ROUND(IF(Table11[[#This Row],[Location]]="Belmont Market",Table11[[#This Row],[Column2]]*0.01,IF(Table11[[#This Row],[Location]]="Country Club Centre",Table11[[#This Row],[Column2]]*0.01,IF(Table11[[#This Row],[Location]]="Naval Air Station Norfolk",Table11[[#This Row],[Column2]]*0.005,F470*0.02))),2)</f>
        <v>40.159999999999997</v>
      </c>
      <c r="K47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70" s="11">
        <f t="shared" si="16"/>
        <v>100.4</v>
      </c>
      <c r="M470" s="10">
        <f t="shared" si="17"/>
        <v>140.56</v>
      </c>
    </row>
    <row r="471" spans="2:13" x14ac:dyDescent="0.25">
      <c r="B471" s="127">
        <v>46265</v>
      </c>
      <c r="C471" s="16">
        <v>149</v>
      </c>
      <c r="D471" s="16" t="s">
        <v>36</v>
      </c>
      <c r="E471" s="17">
        <v>1782.15</v>
      </c>
      <c r="F471" s="17">
        <v>1770.17</v>
      </c>
      <c r="G471" s="10" t="str">
        <f>VLOOKUP(Table11[[#This Row],[Store]],'Rates from Tracker'!A:B,2,0)</f>
        <v>Westwood Plaza</v>
      </c>
      <c r="H471" t="str">
        <f>VLOOKUP(D471,'Rates from Tracker'!A:C,3,0)</f>
        <v>Rolling Dough LLC</v>
      </c>
      <c r="I471" t="str">
        <f>VLOOKUP(Table11[[#This Row],[Franchisee]],'Rates from Tracker'!C:D,2,0)</f>
        <v>Connolly</v>
      </c>
      <c r="J471" s="10">
        <f>ROUND(IF(Table11[[#This Row],[Location]]="Belmont Market",Table11[[#This Row],[Column2]]*0.01,IF(Table11[[#This Row],[Location]]="Country Club Centre",Table11[[#This Row],[Column2]]*0.01,IF(Table11[[#This Row],[Location]]="Naval Air Station Norfolk",Table11[[#This Row],[Column2]]*0.005,F471*0.02))),2)</f>
        <v>35.4</v>
      </c>
      <c r="K47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71" s="11">
        <f t="shared" si="16"/>
        <v>88.51</v>
      </c>
      <c r="M471" s="10">
        <f t="shared" si="17"/>
        <v>123.91</v>
      </c>
    </row>
    <row r="472" spans="2:13" x14ac:dyDescent="0.25">
      <c r="B472" s="127">
        <v>46265</v>
      </c>
      <c r="C472" s="16">
        <v>157</v>
      </c>
      <c r="D472" s="16" t="s">
        <v>15</v>
      </c>
      <c r="E472" s="17">
        <v>2114.37</v>
      </c>
      <c r="F472" s="17">
        <v>2080.87</v>
      </c>
      <c r="G472" s="10" t="str">
        <f>VLOOKUP(Table11[[#This Row],[Store]],'Rates from Tracker'!A:B,2,0)</f>
        <v>Hamburg #6</v>
      </c>
      <c r="H472" t="str">
        <f>VLOOKUP(D472,'Rates from Tracker'!A:C,3,0)</f>
        <v>Cool Dough Development, LLC</v>
      </c>
      <c r="I472" t="str">
        <f>VLOOKUP(Table11[[#This Row],[Franchisee]],'Rates from Tracker'!C:D,2,0)</f>
        <v>Denning</v>
      </c>
      <c r="J472" s="10">
        <f>ROUND(IF(Table11[[#This Row],[Location]]="Belmont Market",Table11[[#This Row],[Column2]]*0.01,IF(Table11[[#This Row],[Location]]="Country Club Centre",Table11[[#This Row],[Column2]]*0.01,IF(Table11[[#This Row],[Location]]="Naval Air Station Norfolk",Table11[[#This Row],[Column2]]*0.005,F472*0.02))),2)</f>
        <v>41.62</v>
      </c>
      <c r="K47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72" s="11">
        <f t="shared" si="16"/>
        <v>104.04</v>
      </c>
      <c r="M472" s="10">
        <f t="shared" si="17"/>
        <v>145.66</v>
      </c>
    </row>
    <row r="473" spans="2:13" x14ac:dyDescent="0.25">
      <c r="B473" s="127">
        <v>46265</v>
      </c>
      <c r="C473" s="16">
        <v>158</v>
      </c>
      <c r="D473" s="16" t="s">
        <v>20</v>
      </c>
      <c r="E473" s="17">
        <v>1976.33</v>
      </c>
      <c r="F473" s="17">
        <v>1883.4600000000009</v>
      </c>
      <c r="G473" s="10" t="str">
        <f>VLOOKUP(Table11[[#This Row],[Store]],'Rates from Tracker'!A:B,2,0)</f>
        <v>McCaslin Marketplace</v>
      </c>
      <c r="H473" t="str">
        <f>VLOOKUP(D473,'Rates from Tracker'!A:C,3,0)</f>
        <v>Best Pizza LLC</v>
      </c>
      <c r="I473" t="str">
        <f>VLOOKUP(Table11[[#This Row],[Franchisee]],'Rates from Tracker'!C:D,2,0)</f>
        <v>Merullo</v>
      </c>
      <c r="J473" s="10">
        <f>ROUND(IF(Table11[[#This Row],[Location]]="Belmont Market",Table11[[#This Row],[Column2]]*0.01,IF(Table11[[#This Row],[Location]]="Country Club Centre",Table11[[#This Row],[Column2]]*0.01,IF(Table11[[#This Row],[Location]]="Naval Air Station Norfolk",Table11[[#This Row],[Column2]]*0.005,F473*0.02))),2)</f>
        <v>37.67</v>
      </c>
      <c r="K47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73" s="11">
        <f t="shared" si="16"/>
        <v>94.17</v>
      </c>
      <c r="M473" s="10">
        <f t="shared" si="17"/>
        <v>131.84</v>
      </c>
    </row>
    <row r="474" spans="2:13" x14ac:dyDescent="0.25">
      <c r="B474" s="127">
        <v>46265</v>
      </c>
      <c r="C474" s="16">
        <v>159</v>
      </c>
      <c r="D474" s="16" t="s">
        <v>24</v>
      </c>
      <c r="E474" s="17">
        <v>1443.03</v>
      </c>
      <c r="F474" s="17">
        <v>1415.52</v>
      </c>
      <c r="G474" s="10" t="str">
        <f>VLOOKUP(Table11[[#This Row],[Store]],'Rates from Tracker'!A:B,2,0)</f>
        <v>North Charleston</v>
      </c>
      <c r="H474" t="str">
        <f>VLOOKUP(D474,'Rates from Tracker'!A:C,3,0)</f>
        <v>Rolling Dough LLC</v>
      </c>
      <c r="I474" t="str">
        <f>VLOOKUP(Table11[[#This Row],[Franchisee]],'Rates from Tracker'!C:D,2,0)</f>
        <v>Connolly</v>
      </c>
      <c r="J474" s="10">
        <f>ROUND(IF(Table11[[#This Row],[Location]]="Belmont Market",Table11[[#This Row],[Column2]]*0.01,IF(Table11[[#This Row],[Location]]="Country Club Centre",Table11[[#This Row],[Column2]]*0.01,IF(Table11[[#This Row],[Location]]="Naval Air Station Norfolk",Table11[[#This Row],[Column2]]*0.005,F474*0.02))),2)</f>
        <v>28.31</v>
      </c>
      <c r="K47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74" s="11">
        <f t="shared" si="16"/>
        <v>70.78</v>
      </c>
      <c r="M474" s="10">
        <f t="shared" si="17"/>
        <v>99.09</v>
      </c>
    </row>
    <row r="475" spans="2:13" x14ac:dyDescent="0.25">
      <c r="B475" s="127">
        <v>46265</v>
      </c>
      <c r="C475" s="16">
        <v>161</v>
      </c>
      <c r="D475" s="16" t="s">
        <v>10</v>
      </c>
      <c r="E475" s="17">
        <v>3907.32</v>
      </c>
      <c r="F475" s="17">
        <v>3860.47</v>
      </c>
      <c r="G475" s="10" t="str">
        <f>VLOOKUP(Table11[[#This Row],[Store]],'Rates from Tracker'!A:B,2,0)</f>
        <v>Chico</v>
      </c>
      <c r="H475" t="str">
        <f>VLOOKUP(D475,'Rates from Tracker'!A:C,3,0)</f>
        <v>Exceed Group Chico</v>
      </c>
      <c r="I475" t="str">
        <f>VLOOKUP(Table11[[#This Row],[Franchisee]],'Rates from Tracker'!C:D,2,0)</f>
        <v>Chawla</v>
      </c>
      <c r="J475" s="10">
        <f>ROUND(IF(Table11[[#This Row],[Location]]="Belmont Market",Table11[[#This Row],[Column2]]*0.01,IF(Table11[[#This Row],[Location]]="Country Club Centre",Table11[[#This Row],[Column2]]*0.01,IF(Table11[[#This Row],[Location]]="Naval Air Station Norfolk",Table11[[#This Row],[Column2]]*0.005,F475*0.02))),2)</f>
        <v>77.209999999999994</v>
      </c>
      <c r="K47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75" s="11">
        <f t="shared" si="16"/>
        <v>193.02</v>
      </c>
      <c r="M475" s="10">
        <f t="shared" si="17"/>
        <v>270.23</v>
      </c>
    </row>
    <row r="476" spans="2:13" x14ac:dyDescent="0.25">
      <c r="B476" s="127">
        <v>46265</v>
      </c>
      <c r="C476" s="16">
        <v>163</v>
      </c>
      <c r="D476" s="16" t="s">
        <v>13</v>
      </c>
      <c r="E476" s="17">
        <v>1827.78</v>
      </c>
      <c r="F476" s="17">
        <v>1680.6699999999973</v>
      </c>
      <c r="G476" s="10" t="str">
        <f>VLOOKUP(Table11[[#This Row],[Store]],'Rates from Tracker'!A:B,2,0)</f>
        <v>Forest Trace</v>
      </c>
      <c r="H476" t="str">
        <f>VLOOKUP(D476,'Rates from Tracker'!A:C,3,0)</f>
        <v>Best Pizza LLC</v>
      </c>
      <c r="I476" t="str">
        <f>VLOOKUP(Table11[[#This Row],[Franchisee]],'Rates from Tracker'!C:D,2,0)</f>
        <v>Merullo</v>
      </c>
      <c r="J476" s="10">
        <f>ROUND(IF(Table11[[#This Row],[Location]]="Belmont Market",Table11[[#This Row],[Column2]]*0.01,IF(Table11[[#This Row],[Location]]="Country Club Centre",Table11[[#This Row],[Column2]]*0.01,IF(Table11[[#This Row],[Location]]="Naval Air Station Norfolk",Table11[[#This Row],[Column2]]*0.005,F476*0.02))),2)</f>
        <v>33.61</v>
      </c>
      <c r="K47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76" s="11">
        <f t="shared" si="16"/>
        <v>84.03</v>
      </c>
      <c r="M476" s="10">
        <f t="shared" si="17"/>
        <v>117.64</v>
      </c>
    </row>
    <row r="477" spans="2:13" x14ac:dyDescent="0.25">
      <c r="B477" s="127">
        <v>46265</v>
      </c>
      <c r="C477" s="16">
        <v>166</v>
      </c>
      <c r="D477" s="16" t="s">
        <v>8</v>
      </c>
      <c r="E477" s="17">
        <v>2362.6999999999998</v>
      </c>
      <c r="F477" s="17">
        <v>2303.77</v>
      </c>
      <c r="G477" s="10" t="str">
        <f>VLOOKUP(Table11[[#This Row],[Store]],'Rates from Tracker'!A:B,2,0)</f>
        <v>Centre Avenue</v>
      </c>
      <c r="H477" t="str">
        <f>VLOOKUP(D477,'Rates from Tracker'!A:C,3,0)</f>
        <v>Best Pizza LLC</v>
      </c>
      <c r="I477" t="str">
        <f>VLOOKUP(Table11[[#This Row],[Franchisee]],'Rates from Tracker'!C:D,2,0)</f>
        <v>Merullo</v>
      </c>
      <c r="J477" s="10">
        <f>ROUND(IF(Table11[[#This Row],[Location]]="Belmont Market",Table11[[#This Row],[Column2]]*0.01,IF(Table11[[#This Row],[Location]]="Country Club Centre",Table11[[#This Row],[Column2]]*0.01,IF(Table11[[#This Row],[Location]]="Naval Air Station Norfolk",Table11[[#This Row],[Column2]]*0.005,F477*0.02))),2)</f>
        <v>46.08</v>
      </c>
      <c r="K47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77" s="11">
        <f t="shared" si="16"/>
        <v>115.19</v>
      </c>
      <c r="M477" s="10">
        <f t="shared" si="17"/>
        <v>161.26999999999998</v>
      </c>
    </row>
    <row r="478" spans="2:13" x14ac:dyDescent="0.25">
      <c r="B478" s="127">
        <v>46265</v>
      </c>
      <c r="C478" s="16">
        <v>172</v>
      </c>
      <c r="D478" s="16" t="s">
        <v>579</v>
      </c>
      <c r="E478" s="17">
        <v>2637.2</v>
      </c>
      <c r="F478" s="17">
        <v>2591.7399999999998</v>
      </c>
      <c r="G478" s="10" t="str">
        <f>VLOOKUP(Table11[[#This Row],[Store]],'Rates from Tracker'!A:B,2,0)</f>
        <v>Oakway</v>
      </c>
      <c r="H478" t="str">
        <f>VLOOKUP(D478,'Rates from Tracker'!A:C,3,0)</f>
        <v>SSR Holdings LLC</v>
      </c>
      <c r="I478" t="str">
        <f>VLOOKUP(Table11[[#This Row],[Franchisee]],'Rates from Tracker'!C:D,2,0)</f>
        <v>Bikram</v>
      </c>
      <c r="J478" s="10">
        <f>ROUND(IF(Table11[[#This Row],[Location]]="Belmont Market",Table11[[#This Row],[Column2]]*0.01,IF(Table11[[#This Row],[Location]]="Country Club Centre",Table11[[#This Row],[Column2]]*0.01,IF(Table11[[#This Row],[Location]]="Naval Air Station Norfolk",Table11[[#This Row],[Column2]]*0.005,F478*0.02))),2)</f>
        <v>51.83</v>
      </c>
      <c r="K47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78" s="11">
        <f t="shared" si="16"/>
        <v>25.92</v>
      </c>
      <c r="M478" s="10">
        <f t="shared" si="17"/>
        <v>77.75</v>
      </c>
    </row>
    <row r="479" spans="2:13" x14ac:dyDescent="0.25">
      <c r="B479" s="127">
        <v>46265</v>
      </c>
      <c r="C479" s="16">
        <v>204</v>
      </c>
      <c r="D479" s="16" t="s">
        <v>578</v>
      </c>
      <c r="E479" s="17">
        <v>2989.84</v>
      </c>
      <c r="F479" s="17">
        <v>2936.24</v>
      </c>
      <c r="G479" s="10" t="str">
        <f>VLOOKUP(Table11[[#This Row],[Store]],'Rates from Tracker'!A:B,2,0)</f>
        <v>North Medford</v>
      </c>
      <c r="H479" t="str">
        <f>VLOOKUP(D479,'Rates from Tracker'!A:C,3,0)</f>
        <v>SSR Holdings LLC</v>
      </c>
      <c r="I479" t="str">
        <f>VLOOKUP(Table11[[#This Row],[Franchisee]],'Rates from Tracker'!C:D,2,0)</f>
        <v>Bikram</v>
      </c>
      <c r="J479" s="10">
        <f>ROUND(IF(Table11[[#This Row],[Location]]="Belmont Market",Table11[[#This Row],[Column2]]*0.01,IF(Table11[[#This Row],[Location]]="Country Club Centre",Table11[[#This Row],[Column2]]*0.01,IF(Table11[[#This Row],[Location]]="Naval Air Station Norfolk",Table11[[#This Row],[Column2]]*0.005,F479*0.02))),2)</f>
        <v>58.72</v>
      </c>
      <c r="K47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79" s="11">
        <f t="shared" si="16"/>
        <v>29.36</v>
      </c>
      <c r="M479" s="10">
        <f t="shared" si="17"/>
        <v>88.08</v>
      </c>
    </row>
    <row r="480" spans="2:13" x14ac:dyDescent="0.25">
      <c r="B480" s="127">
        <v>46265</v>
      </c>
      <c r="C480" s="16">
        <v>210</v>
      </c>
      <c r="D480" s="16" t="s">
        <v>586</v>
      </c>
      <c r="E480" s="17">
        <v>1931.68</v>
      </c>
      <c r="F480" s="17">
        <v>1888.61</v>
      </c>
      <c r="G480" s="10" t="str">
        <f>VLOOKUP(Table11[[#This Row],[Store]],'Rates from Tracker'!A:B,2,0)</f>
        <v>South Eugene</v>
      </c>
      <c r="H480" t="str">
        <f>VLOOKUP(D480,'Rates from Tracker'!A:C,3,0)</f>
        <v>SSR Holdings LLC</v>
      </c>
      <c r="I480" t="str">
        <f>VLOOKUP(Table11[[#This Row],[Franchisee]],'Rates from Tracker'!C:D,2,0)</f>
        <v>Bikram</v>
      </c>
      <c r="J480" s="10">
        <f>ROUND(IF(Table11[[#This Row],[Location]]="Belmont Market",Table11[[#This Row],[Column2]]*0.01,IF(Table11[[#This Row],[Location]]="Country Club Centre",Table11[[#This Row],[Column2]]*0.01,IF(Table11[[#This Row],[Location]]="Naval Air Station Norfolk",Table11[[#This Row],[Column2]]*0.005,F480*0.02))),2)</f>
        <v>37.770000000000003</v>
      </c>
      <c r="K48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80" s="11">
        <f t="shared" si="16"/>
        <v>18.89</v>
      </c>
      <c r="M480" s="10">
        <f t="shared" si="17"/>
        <v>56.660000000000004</v>
      </c>
    </row>
    <row r="481" spans="2:13" x14ac:dyDescent="0.25">
      <c r="B481" s="127">
        <v>46265</v>
      </c>
      <c r="C481" s="16">
        <v>212</v>
      </c>
      <c r="D481" s="16" t="s">
        <v>39</v>
      </c>
      <c r="E481" s="17">
        <v>2235.6999999999998</v>
      </c>
      <c r="F481" s="17">
        <v>2118.7199999999993</v>
      </c>
      <c r="G481" s="10" t="str">
        <f>VLOOKUP(Table11[[#This Row],[Store]],'Rates from Tracker'!A:B,2,0)</f>
        <v>Woodland</v>
      </c>
      <c r="H481" t="str">
        <f>VLOOKUP(D481,'Rates from Tracker'!A:C,3,0)</f>
        <v>Exceed Group Woodland</v>
      </c>
      <c r="I481" t="str">
        <f>VLOOKUP(Table11[[#This Row],[Franchisee]],'Rates from Tracker'!C:D,2,0)</f>
        <v>Chawla</v>
      </c>
      <c r="J481" s="10">
        <f>ROUND(IF(Table11[[#This Row],[Location]]="Belmont Market",Table11[[#This Row],[Column2]]*0.01,IF(Table11[[#This Row],[Location]]="Country Club Centre",Table11[[#This Row],[Column2]]*0.01,IF(Table11[[#This Row],[Location]]="Naval Air Station Norfolk",Table11[[#This Row],[Column2]]*0.005,F481*0.02))),2)</f>
        <v>42.37</v>
      </c>
      <c r="K48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81" s="11">
        <f t="shared" si="16"/>
        <v>105.94</v>
      </c>
      <c r="M481" s="10">
        <f t="shared" si="17"/>
        <v>148.31</v>
      </c>
    </row>
    <row r="482" spans="2:13" x14ac:dyDescent="0.25">
      <c r="B482" s="127">
        <v>46265</v>
      </c>
      <c r="C482" s="16">
        <v>216</v>
      </c>
      <c r="D482" s="16" t="s">
        <v>23</v>
      </c>
      <c r="E482" s="17">
        <v>2435.87</v>
      </c>
      <c r="F482" s="17">
        <v>2388.64</v>
      </c>
      <c r="G482" s="10" t="str">
        <f>VLOOKUP(Table11[[#This Row],[Store]],'Rates from Tracker'!A:B,2,0)</f>
        <v>NE Columbia</v>
      </c>
      <c r="H482" t="str">
        <f>VLOOKUP(D482,'Rates from Tracker'!A:C,3,0)</f>
        <v>Rolling Dough LLC</v>
      </c>
      <c r="I482" t="str">
        <f>VLOOKUP(Table11[[#This Row],[Franchisee]],'Rates from Tracker'!C:D,2,0)</f>
        <v>Connolly</v>
      </c>
      <c r="J482" s="10">
        <f>ROUND(IF(Table11[[#This Row],[Location]]="Belmont Market",Table11[[#This Row],[Column2]]*0.01,IF(Table11[[#This Row],[Location]]="Country Club Centre",Table11[[#This Row],[Column2]]*0.01,IF(Table11[[#This Row],[Location]]="Naval Air Station Norfolk",Table11[[#This Row],[Column2]]*0.005,F482*0.02))),2)</f>
        <v>47.77</v>
      </c>
      <c r="K48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82" s="11">
        <f t="shared" si="16"/>
        <v>119.43</v>
      </c>
      <c r="M482" s="10">
        <f t="shared" si="17"/>
        <v>167.20000000000002</v>
      </c>
    </row>
    <row r="483" spans="2:13" x14ac:dyDescent="0.25">
      <c r="B483" s="127">
        <v>46265</v>
      </c>
      <c r="C483" s="16">
        <v>228</v>
      </c>
      <c r="D483" s="16" t="s">
        <v>131</v>
      </c>
      <c r="E483" s="17">
        <v>1053.44</v>
      </c>
      <c r="F483" s="17">
        <v>1053.44</v>
      </c>
      <c r="G483" s="10" t="str">
        <f>VLOOKUP(Table11[[#This Row],[Store]],'Rates from Tracker'!A:B,2,0)</f>
        <v>Auburn Village</v>
      </c>
      <c r="H483" t="str">
        <f>VLOOKUP(D483,'Rates from Tracker'!A:C,3,0)</f>
        <v>Exceed Group Auburn Village</v>
      </c>
      <c r="I483" t="str">
        <f>VLOOKUP(Table11[[#This Row],[Franchisee]],'Rates from Tracker'!C:D,2,0)</f>
        <v>Chawla</v>
      </c>
      <c r="J483" s="10">
        <f>ROUND(IF(Table11[[#This Row],[Location]]="Belmont Market",Table11[[#This Row],[Column2]]*0.01,IF(Table11[[#This Row],[Location]]="Country Club Centre",Table11[[#This Row],[Column2]]*0.01,IF(Table11[[#This Row],[Location]]="Naval Air Station Norfolk",Table11[[#This Row],[Column2]]*0.005,F483*0.02))),2)</f>
        <v>21.07</v>
      </c>
      <c r="K48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83" s="11">
        <f t="shared" si="16"/>
        <v>52.67</v>
      </c>
      <c r="M483" s="10">
        <f t="shared" si="17"/>
        <v>73.740000000000009</v>
      </c>
    </row>
    <row r="484" spans="2:13" x14ac:dyDescent="0.25">
      <c r="B484" s="127">
        <v>46265</v>
      </c>
      <c r="C484" s="16">
        <v>231</v>
      </c>
      <c r="D484" s="16" t="s">
        <v>133</v>
      </c>
      <c r="E484" s="17">
        <v>2157.1</v>
      </c>
      <c r="F484" s="17">
        <v>2153.3000000000002</v>
      </c>
      <c r="G484" s="10" t="str">
        <f>VLOOKUP(Table11[[#This Row],[Store]],'Rates from Tracker'!A:B,2,0)</f>
        <v>Kennesaw</v>
      </c>
      <c r="H484" t="str">
        <f>VLOOKUP(D484,'Rates from Tracker'!A:C,3,0)</f>
        <v>Southern Pie LLC</v>
      </c>
      <c r="I484" t="str">
        <f>VLOOKUP(Table11[[#This Row],[Franchisee]],'Rates from Tracker'!C:D,2,0)</f>
        <v>Hill/Hayden</v>
      </c>
      <c r="J484" s="10">
        <f>ROUND(IF(Table11[[#This Row],[Location]]="Belmont Market",Table11[[#This Row],[Column2]]*0.01,IF(Table11[[#This Row],[Location]]="Country Club Centre",Table11[[#This Row],[Column2]]*0.01,IF(Table11[[#This Row],[Location]]="Naval Air Station Norfolk",Table11[[#This Row],[Column2]]*0.005,F484*0.02))),2)</f>
        <v>43.07</v>
      </c>
      <c r="K48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84" s="11">
        <f t="shared" si="16"/>
        <v>107.67</v>
      </c>
      <c r="M484" s="10">
        <f t="shared" si="17"/>
        <v>150.74</v>
      </c>
    </row>
    <row r="485" spans="2:13" x14ac:dyDescent="0.25">
      <c r="B485" s="127">
        <v>46265</v>
      </c>
      <c r="C485" s="16">
        <v>241</v>
      </c>
      <c r="D485" s="16" t="s">
        <v>592</v>
      </c>
      <c r="E485" s="17">
        <v>2172.63</v>
      </c>
      <c r="F485" s="17">
        <v>2147.56</v>
      </c>
      <c r="G485" s="10" t="str">
        <f>VLOOKUP(Table11[[#This Row],[Store]],'Rates from Tracker'!A:B,2,0)</f>
        <v>Woods Cross</v>
      </c>
      <c r="H485" t="str">
        <f>VLOOKUP(D485,'Rates from Tracker'!A:C,3,0)</f>
        <v>SSR Holdings LLC</v>
      </c>
      <c r="I485" t="str">
        <f>VLOOKUP(Table11[[#This Row],[Franchisee]],'Rates from Tracker'!C:D,2,0)</f>
        <v>Bikram</v>
      </c>
      <c r="J485" s="10">
        <f>ROUND(IF(Table11[[#This Row],[Location]]="Belmont Market",Table11[[#This Row],[Column2]]*0.01,IF(Table11[[#This Row],[Location]]="Country Club Centre",Table11[[#This Row],[Column2]]*0.01,IF(Table11[[#This Row],[Location]]="Naval Air Station Norfolk",Table11[[#This Row],[Column2]]*0.005,F485*0.02))),2)</f>
        <v>42.95</v>
      </c>
      <c r="K48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85" s="11">
        <f t="shared" si="16"/>
        <v>21.48</v>
      </c>
      <c r="M485" s="10">
        <f t="shared" si="17"/>
        <v>64.430000000000007</v>
      </c>
    </row>
    <row r="486" spans="2:13" x14ac:dyDescent="0.25">
      <c r="B486" s="127">
        <v>46265</v>
      </c>
      <c r="C486" s="16">
        <v>244</v>
      </c>
      <c r="D486" s="16" t="s">
        <v>155</v>
      </c>
      <c r="E486" s="17">
        <v>1705.93</v>
      </c>
      <c r="F486" s="17">
        <v>1679.99</v>
      </c>
      <c r="G486" s="10" t="str">
        <f>VLOOKUP(Table11[[#This Row],[Store]],'Rates from Tracker'!A:B,2,0)</f>
        <v>Redfield Promenade</v>
      </c>
      <c r="H486" t="str">
        <f>VLOOKUP(D486,'Rates from Tracker'!A:C,3,0)</f>
        <v>Exceed Group Redfield Promenade</v>
      </c>
      <c r="I486" t="str">
        <f>VLOOKUP(Table11[[#This Row],[Franchisee]],'Rates from Tracker'!C:D,2,0)</f>
        <v>Chawla</v>
      </c>
      <c r="J486" s="10">
        <f>ROUND(IF(Table11[[#This Row],[Location]]="Belmont Market",Table11[[#This Row],[Column2]]*0.01,IF(Table11[[#This Row],[Location]]="Country Club Centre",Table11[[#This Row],[Column2]]*0.01,IF(Table11[[#This Row],[Location]]="Naval Air Station Norfolk",Table11[[#This Row],[Column2]]*0.005,F486*0.02))),2)</f>
        <v>33.6</v>
      </c>
      <c r="K48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86" s="11">
        <f t="shared" si="16"/>
        <v>84</v>
      </c>
      <c r="M486" s="10">
        <f t="shared" si="17"/>
        <v>117.6</v>
      </c>
    </row>
    <row r="487" spans="2:13" x14ac:dyDescent="0.25">
      <c r="B487" s="127">
        <v>46265</v>
      </c>
      <c r="C487" s="16">
        <v>245</v>
      </c>
      <c r="D487" s="16" t="s">
        <v>157</v>
      </c>
      <c r="E487" s="17">
        <v>1156.25</v>
      </c>
      <c r="F487" s="17">
        <v>1098.8499999999999</v>
      </c>
      <c r="G487" s="10" t="str">
        <f>VLOOKUP(Table11[[#This Row],[Store]],'Rates from Tracker'!A:B,2,0)</f>
        <v>Evansville #11</v>
      </c>
      <c r="H487" t="str">
        <f>VLOOKUP(D487,'Rates from Tracker'!A:C,3,0)</f>
        <v>Cool Dough Development, LLC</v>
      </c>
      <c r="I487" t="str">
        <f>VLOOKUP(Table11[[#This Row],[Franchisee]],'Rates from Tracker'!C:D,2,0)</f>
        <v>Denning</v>
      </c>
      <c r="J487" s="10">
        <f>ROUND(IF(Table11[[#This Row],[Location]]="Belmont Market",Table11[[#This Row],[Column2]]*0.01,IF(Table11[[#This Row],[Location]]="Country Club Centre",Table11[[#This Row],[Column2]]*0.01,IF(Table11[[#This Row],[Location]]="Naval Air Station Norfolk",Table11[[#This Row],[Column2]]*0.005,F487*0.02))),2)</f>
        <v>21.98</v>
      </c>
      <c r="K48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87" s="11">
        <f t="shared" si="16"/>
        <v>54.94</v>
      </c>
      <c r="M487" s="10">
        <f t="shared" si="17"/>
        <v>76.92</v>
      </c>
    </row>
    <row r="488" spans="2:13" x14ac:dyDescent="0.25">
      <c r="B488" s="127">
        <v>46265</v>
      </c>
      <c r="C488" s="16">
        <v>251</v>
      </c>
      <c r="D488" s="16" t="s">
        <v>258</v>
      </c>
      <c r="E488" s="17">
        <v>3142.2</v>
      </c>
      <c r="F488" s="17">
        <v>2951.3800000000019</v>
      </c>
      <c r="G488" s="10" t="str">
        <f>VLOOKUP(Table11[[#This Row],[Store]],'Rates from Tracker'!A:B,2,0)</f>
        <v>Westminster Promenade</v>
      </c>
      <c r="H488" t="str">
        <f>VLOOKUP(D488,'Rates from Tracker'!A:C,3,0)</f>
        <v>Best Pizza LLC</v>
      </c>
      <c r="I488" t="str">
        <f>VLOOKUP(Table11[[#This Row],[Franchisee]],'Rates from Tracker'!C:D,2,0)</f>
        <v>Merullo</v>
      </c>
      <c r="J488" s="10">
        <f>ROUND(IF(Table11[[#This Row],[Location]]="Belmont Market",Table11[[#This Row],[Column2]]*0.01,IF(Table11[[#This Row],[Location]]="Country Club Centre",Table11[[#This Row],[Column2]]*0.01,IF(Table11[[#This Row],[Location]]="Naval Air Station Norfolk",Table11[[#This Row],[Column2]]*0.005,F488*0.02))),2)</f>
        <v>59.03</v>
      </c>
      <c r="K48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88" s="11">
        <f t="shared" si="16"/>
        <v>147.57</v>
      </c>
      <c r="M488" s="10">
        <f t="shared" si="17"/>
        <v>206.6</v>
      </c>
    </row>
    <row r="489" spans="2:13" x14ac:dyDescent="0.25">
      <c r="B489" s="127">
        <v>46265</v>
      </c>
      <c r="C489" s="16">
        <v>253</v>
      </c>
      <c r="D489" s="16" t="s">
        <v>580</v>
      </c>
      <c r="E489" s="17">
        <v>2137.64</v>
      </c>
      <c r="F489" s="17">
        <v>2133.65</v>
      </c>
      <c r="G489" s="10" t="str">
        <f>VLOOKUP(Table11[[#This Row],[Store]],'Rates from Tracker'!A:B,2,0)</f>
        <v>Park City</v>
      </c>
      <c r="H489" t="str">
        <f>VLOOKUP(D489,'Rates from Tracker'!A:C,3,0)</f>
        <v>SSR Holdings LLC</v>
      </c>
      <c r="I489" t="str">
        <f>VLOOKUP(Table11[[#This Row],[Franchisee]],'Rates from Tracker'!C:D,2,0)</f>
        <v>Bikram</v>
      </c>
      <c r="J489" s="10">
        <f>ROUND(IF(Table11[[#This Row],[Location]]="Belmont Market",Table11[[#This Row],[Column2]]*0.01,IF(Table11[[#This Row],[Location]]="Country Club Centre",Table11[[#This Row],[Column2]]*0.01,IF(Table11[[#This Row],[Location]]="Naval Air Station Norfolk",Table11[[#This Row],[Column2]]*0.005,F489*0.02))),2)</f>
        <v>42.67</v>
      </c>
      <c r="K48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89" s="11">
        <f t="shared" si="16"/>
        <v>21.34</v>
      </c>
      <c r="M489" s="10">
        <f t="shared" si="17"/>
        <v>64.010000000000005</v>
      </c>
    </row>
    <row r="490" spans="2:13" x14ac:dyDescent="0.25">
      <c r="B490" s="127">
        <v>46265</v>
      </c>
      <c r="C490" s="16">
        <v>256</v>
      </c>
      <c r="D490" s="16" t="s">
        <v>266</v>
      </c>
      <c r="E490" s="17">
        <v>2284.87</v>
      </c>
      <c r="F490" s="17">
        <v>2221.06</v>
      </c>
      <c r="G490" s="10" t="str">
        <f>VLOOKUP(Table11[[#This Row],[Store]],'Rates from Tracker'!A:B,2,0)</f>
        <v>S Academy Highlands</v>
      </c>
      <c r="H490" t="str">
        <f>VLOOKUP(D490,'Rates from Tracker'!A:C,3,0)</f>
        <v>Best Pizza LLC</v>
      </c>
      <c r="I490" t="str">
        <f>VLOOKUP(Table11[[#This Row],[Franchisee]],'Rates from Tracker'!C:D,2,0)</f>
        <v>Merullo</v>
      </c>
      <c r="J490" s="10">
        <f>ROUND(IF(Table11[[#This Row],[Location]]="Belmont Market",Table11[[#This Row],[Column2]]*0.01,IF(Table11[[#This Row],[Location]]="Country Club Centre",Table11[[#This Row],[Column2]]*0.01,IF(Table11[[#This Row],[Location]]="Naval Air Station Norfolk",Table11[[#This Row],[Column2]]*0.005,F490*0.02))),2)</f>
        <v>44.42</v>
      </c>
      <c r="K49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90" s="11">
        <f t="shared" si="16"/>
        <v>111.05</v>
      </c>
      <c r="M490" s="10">
        <f t="shared" si="17"/>
        <v>155.47</v>
      </c>
    </row>
    <row r="491" spans="2:13" x14ac:dyDescent="0.25">
      <c r="B491" s="127">
        <v>46265</v>
      </c>
      <c r="C491" s="16">
        <v>258</v>
      </c>
      <c r="D491" s="16" t="s">
        <v>582</v>
      </c>
      <c r="E491" s="17">
        <v>1736.55</v>
      </c>
      <c r="F491" s="17">
        <v>1713.74</v>
      </c>
      <c r="G491" s="10" t="str">
        <f>VLOOKUP(Table11[[#This Row],[Store]],'Rates from Tracker'!A:B,2,0)</f>
        <v>Riverdale</v>
      </c>
      <c r="H491" t="str">
        <f>VLOOKUP(D491,'Rates from Tracker'!A:C,3,0)</f>
        <v>SSR Holdings LLC</v>
      </c>
      <c r="I491" t="str">
        <f>VLOOKUP(Table11[[#This Row],[Franchisee]],'Rates from Tracker'!C:D,2,0)</f>
        <v>Bikram</v>
      </c>
      <c r="J491" s="10">
        <f>ROUND(IF(Table11[[#This Row],[Location]]="Belmont Market",Table11[[#This Row],[Column2]]*0.01,IF(Table11[[#This Row],[Location]]="Country Club Centre",Table11[[#This Row],[Column2]]*0.01,IF(Table11[[#This Row],[Location]]="Naval Air Station Norfolk",Table11[[#This Row],[Column2]]*0.005,F491*0.02))),2)</f>
        <v>34.270000000000003</v>
      </c>
      <c r="K49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91" s="11">
        <f t="shared" si="16"/>
        <v>17.14</v>
      </c>
      <c r="M491" s="10">
        <f t="shared" si="17"/>
        <v>51.410000000000004</v>
      </c>
    </row>
    <row r="492" spans="2:13" x14ac:dyDescent="0.25">
      <c r="B492" s="127">
        <v>46265</v>
      </c>
      <c r="C492" s="16">
        <v>260</v>
      </c>
      <c r="D492" s="16" t="s">
        <v>280</v>
      </c>
      <c r="E492" s="17">
        <v>2673.86</v>
      </c>
      <c r="F492" s="17">
        <v>2611.4399999999973</v>
      </c>
      <c r="G492" s="10" t="str">
        <f>VLOOKUP(Table11[[#This Row],[Store]],'Rates from Tracker'!A:B,2,0)</f>
        <v>Highlands Ranch</v>
      </c>
      <c r="H492" t="str">
        <f>VLOOKUP(D492,'Rates from Tracker'!A:C,3,0)</f>
        <v>Best Pizza LLC</v>
      </c>
      <c r="I492" t="str">
        <f>VLOOKUP(Table11[[#This Row],[Franchisee]],'Rates from Tracker'!C:D,2,0)</f>
        <v>Merullo</v>
      </c>
      <c r="J492" s="10">
        <f>ROUND(IF(Table11[[#This Row],[Location]]="Belmont Market",Table11[[#This Row],[Column2]]*0.01,IF(Table11[[#This Row],[Location]]="Country Club Centre",Table11[[#This Row],[Column2]]*0.01,IF(Table11[[#This Row],[Location]]="Naval Air Station Norfolk",Table11[[#This Row],[Column2]]*0.005,F492*0.02))),2)</f>
        <v>52.23</v>
      </c>
      <c r="K49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92" s="11">
        <f t="shared" si="16"/>
        <v>130.57</v>
      </c>
      <c r="M492" s="10">
        <f t="shared" si="17"/>
        <v>182.79999999999998</v>
      </c>
    </row>
    <row r="493" spans="2:13" x14ac:dyDescent="0.25">
      <c r="B493" s="127">
        <v>46265</v>
      </c>
      <c r="C493" s="16">
        <v>265</v>
      </c>
      <c r="D493" s="16" t="s">
        <v>267</v>
      </c>
      <c r="E493" s="17">
        <v>3141.9</v>
      </c>
      <c r="F493" s="17">
        <v>3106.57</v>
      </c>
      <c r="G493" s="10" t="str">
        <f>VLOOKUP(Table11[[#This Row],[Store]],'Rates from Tracker'!A:B,2,0)</f>
        <v>Dublin Commons</v>
      </c>
      <c r="H493" t="str">
        <f>VLOOKUP(D493,'Rates from Tracker'!A:C,3,0)</f>
        <v>Best Pizza LLC</v>
      </c>
      <c r="I493" t="str">
        <f>VLOOKUP(Table11[[#This Row],[Franchisee]],'Rates from Tracker'!C:D,2,0)</f>
        <v>Merullo</v>
      </c>
      <c r="J493" s="10">
        <f>ROUND(IF(Table11[[#This Row],[Location]]="Belmont Market",Table11[[#This Row],[Column2]]*0.01,IF(Table11[[#This Row],[Location]]="Country Club Centre",Table11[[#This Row],[Column2]]*0.01,IF(Table11[[#This Row],[Location]]="Naval Air Station Norfolk",Table11[[#This Row],[Column2]]*0.005,F493*0.02))),2)</f>
        <v>62.13</v>
      </c>
      <c r="K49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93" s="11">
        <f t="shared" si="16"/>
        <v>155.33000000000001</v>
      </c>
      <c r="M493" s="10">
        <f t="shared" si="17"/>
        <v>217.46</v>
      </c>
    </row>
    <row r="494" spans="2:13" x14ac:dyDescent="0.25">
      <c r="B494" s="127">
        <v>46265</v>
      </c>
      <c r="C494" s="16">
        <v>267</v>
      </c>
      <c r="D494" s="16" t="s">
        <v>281</v>
      </c>
      <c r="E494" s="17">
        <v>1027.28</v>
      </c>
      <c r="F494" s="17">
        <v>1007.69</v>
      </c>
      <c r="G494" s="10" t="str">
        <f>VLOOKUP(Table11[[#This Row],[Store]],'Rates from Tracker'!A:B,2,0)</f>
        <v>Decatur</v>
      </c>
      <c r="H494" t="str">
        <f>VLOOKUP(D494,'Rates from Tracker'!A:C,3,0)</f>
        <v>DAZ9</v>
      </c>
      <c r="I494" t="str">
        <f>VLOOKUP(Table11[[#This Row],[Franchisee]],'Rates from Tracker'!C:D,2,0)</f>
        <v>Neal Patel</v>
      </c>
      <c r="J494" s="10">
        <f>ROUND(IF(Table11[[#This Row],[Location]]="Belmont Market",Table11[[#This Row],[Column2]]*0.01,IF(Table11[[#This Row],[Location]]="Country Club Centre",Table11[[#This Row],[Column2]]*0.01,IF(Table11[[#This Row],[Location]]="Naval Air Station Norfolk",Table11[[#This Row],[Column2]]*0.005,F494*0.02))),2)</f>
        <v>20.149999999999999</v>
      </c>
      <c r="K49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494" s="11">
        <f t="shared" si="16"/>
        <v>10.08</v>
      </c>
      <c r="M494" s="10">
        <f t="shared" si="17"/>
        <v>30.229999999999997</v>
      </c>
    </row>
    <row r="495" spans="2:13" x14ac:dyDescent="0.25">
      <c r="B495" s="127">
        <v>46265</v>
      </c>
      <c r="C495" s="16">
        <v>272</v>
      </c>
      <c r="D495" s="16" t="s">
        <v>290</v>
      </c>
      <c r="E495" s="17">
        <v>2447.58</v>
      </c>
      <c r="F495" s="17">
        <v>2308.5300000000011</v>
      </c>
      <c r="G495" s="10" t="str">
        <f>VLOOKUP(Table11[[#This Row],[Store]],'Rates from Tracker'!A:B,2,0)</f>
        <v>Northfield Commons</v>
      </c>
      <c r="H495" t="str">
        <f>VLOOKUP(D495,'Rates from Tracker'!A:C,3,0)</f>
        <v>Best Pizza LLC</v>
      </c>
      <c r="I495" t="str">
        <f>VLOOKUP(Table11[[#This Row],[Franchisee]],'Rates from Tracker'!C:D,2,0)</f>
        <v>Merullo</v>
      </c>
      <c r="J495" s="10">
        <f>ROUND(IF(Table11[[#This Row],[Location]]="Belmont Market",Table11[[#This Row],[Column2]]*0.01,IF(Table11[[#This Row],[Location]]="Country Club Centre",Table11[[#This Row],[Column2]]*0.01,IF(Table11[[#This Row],[Location]]="Naval Air Station Norfolk",Table11[[#This Row],[Column2]]*0.005,F495*0.02))),2)</f>
        <v>46.17</v>
      </c>
      <c r="K49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95" s="11">
        <f t="shared" si="16"/>
        <v>115.43</v>
      </c>
      <c r="M495" s="10">
        <f t="shared" si="17"/>
        <v>161.60000000000002</v>
      </c>
    </row>
    <row r="496" spans="2:13" x14ac:dyDescent="0.25">
      <c r="B496" s="127">
        <v>46265</v>
      </c>
      <c r="C496" s="16">
        <v>278</v>
      </c>
      <c r="D496" s="16" t="s">
        <v>284</v>
      </c>
      <c r="E496" s="17">
        <v>1767.29</v>
      </c>
      <c r="F496" s="17">
        <v>1761.8</v>
      </c>
      <c r="G496" s="10" t="str">
        <f>VLOOKUP(Table11[[#This Row],[Store]],'Rates from Tracker'!A:B,2,0)</f>
        <v>Diamond Circle</v>
      </c>
      <c r="H496" t="str">
        <f>VLOOKUP(D496,'Rates from Tracker'!A:C,3,0)</f>
        <v>Best Pizza LLC</v>
      </c>
      <c r="I496" t="str">
        <f>VLOOKUP(Table11[[#This Row],[Franchisee]],'Rates from Tracker'!C:D,2,0)</f>
        <v>Merullo</v>
      </c>
      <c r="J496" s="10">
        <f>ROUND(IF(Table11[[#This Row],[Location]]="Belmont Market",Table11[[#This Row],[Column2]]*0.01,IF(Table11[[#This Row],[Location]]="Country Club Centre",Table11[[#This Row],[Column2]]*0.01,IF(Table11[[#This Row],[Location]]="Naval Air Station Norfolk",Table11[[#This Row],[Column2]]*0.005,F496*0.02))),2)</f>
        <v>35.24</v>
      </c>
      <c r="K49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96" s="11">
        <f t="shared" si="16"/>
        <v>88.09</v>
      </c>
      <c r="M496" s="10">
        <f t="shared" si="17"/>
        <v>123.33000000000001</v>
      </c>
    </row>
    <row r="497" spans="2:13" x14ac:dyDescent="0.25">
      <c r="B497" s="127">
        <v>46265</v>
      </c>
      <c r="C497" s="16">
        <v>279</v>
      </c>
      <c r="D497" s="16" t="s">
        <v>299</v>
      </c>
      <c r="E497" s="17">
        <v>1848.71</v>
      </c>
      <c r="F497" s="17">
        <v>1827.65</v>
      </c>
      <c r="G497" s="10" t="str">
        <f>VLOOKUP(Table11[[#This Row],[Store]],'Rates from Tracker'!A:B,2,0)</f>
        <v>Lexington</v>
      </c>
      <c r="H497" t="str">
        <f>VLOOKUP(D497,'Rates from Tracker'!A:C,3,0)</f>
        <v>Rolling Dough LLC</v>
      </c>
      <c r="I497" t="str">
        <f>VLOOKUP(Table11[[#This Row],[Franchisee]],'Rates from Tracker'!C:D,2,0)</f>
        <v>Connolly</v>
      </c>
      <c r="J497" s="10">
        <f>ROUND(IF(Table11[[#This Row],[Location]]="Belmont Market",Table11[[#This Row],[Column2]]*0.01,IF(Table11[[#This Row],[Location]]="Country Club Centre",Table11[[#This Row],[Column2]]*0.01,IF(Table11[[#This Row],[Location]]="Naval Air Station Norfolk",Table11[[#This Row],[Column2]]*0.005,F497*0.02))),2)</f>
        <v>36.549999999999997</v>
      </c>
      <c r="K49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97" s="11">
        <f t="shared" si="16"/>
        <v>91.38</v>
      </c>
      <c r="M497" s="10">
        <f t="shared" si="17"/>
        <v>127.92999999999999</v>
      </c>
    </row>
    <row r="498" spans="2:13" x14ac:dyDescent="0.25">
      <c r="B498" s="127">
        <v>46265</v>
      </c>
      <c r="C498" s="16">
        <v>285</v>
      </c>
      <c r="D498" s="16" t="s">
        <v>288</v>
      </c>
      <c r="E498" s="17">
        <v>2938.84</v>
      </c>
      <c r="F498" s="17">
        <v>2857.2900000000004</v>
      </c>
      <c r="G498" s="10" t="str">
        <f>VLOOKUP(Table11[[#This Row],[Store]],'Rates from Tracker'!A:B,2,0)</f>
        <v>Polaris Pointe</v>
      </c>
      <c r="H498" t="str">
        <f>VLOOKUP(D498,'Rates from Tracker'!A:C,3,0)</f>
        <v>Best Pizza LLC</v>
      </c>
      <c r="I498" t="str">
        <f>VLOOKUP(Table11[[#This Row],[Franchisee]],'Rates from Tracker'!C:D,2,0)</f>
        <v>Merullo</v>
      </c>
      <c r="J498" s="10">
        <f>ROUND(IF(Table11[[#This Row],[Location]]="Belmont Market",Table11[[#This Row],[Column2]]*0.01,IF(Table11[[#This Row],[Location]]="Country Club Centre",Table11[[#This Row],[Column2]]*0.01,IF(Table11[[#This Row],[Location]]="Naval Air Station Norfolk",Table11[[#This Row],[Column2]]*0.005,F498*0.02))),2)</f>
        <v>57.15</v>
      </c>
      <c r="K49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98" s="11">
        <f t="shared" si="16"/>
        <v>142.86000000000001</v>
      </c>
      <c r="M498" s="10">
        <f t="shared" si="17"/>
        <v>200.01000000000002</v>
      </c>
    </row>
    <row r="499" spans="2:13" x14ac:dyDescent="0.25">
      <c r="B499" s="127">
        <v>46265</v>
      </c>
      <c r="C499" s="16">
        <v>292</v>
      </c>
      <c r="D499" s="16" t="s">
        <v>296</v>
      </c>
      <c r="E499" s="17">
        <v>2408.2800000000002</v>
      </c>
      <c r="F499" s="17">
        <v>2392.33</v>
      </c>
      <c r="G499" s="10" t="str">
        <f>VLOOKUP(Table11[[#This Row],[Store]],'Rates from Tracker'!A:B,2,0)</f>
        <v>Greeley</v>
      </c>
      <c r="H499" t="str">
        <f>VLOOKUP(D499,'Rates from Tracker'!A:C,3,0)</f>
        <v>Best Pizza LLC</v>
      </c>
      <c r="I499" t="str">
        <f>VLOOKUP(Table11[[#This Row],[Franchisee]],'Rates from Tracker'!C:D,2,0)</f>
        <v>Merullo</v>
      </c>
      <c r="J499" s="10">
        <f>ROUND(IF(Table11[[#This Row],[Location]]="Belmont Market",Table11[[#This Row],[Column2]]*0.01,IF(Table11[[#This Row],[Location]]="Country Club Centre",Table11[[#This Row],[Column2]]*0.01,IF(Table11[[#This Row],[Location]]="Naval Air Station Norfolk",Table11[[#This Row],[Column2]]*0.005,F499*0.02))),2)</f>
        <v>47.85</v>
      </c>
      <c r="K49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499" s="11">
        <f t="shared" si="16"/>
        <v>119.62</v>
      </c>
      <c r="M499" s="10">
        <f t="shared" si="17"/>
        <v>167.47</v>
      </c>
    </row>
    <row r="500" spans="2:13" x14ac:dyDescent="0.25">
      <c r="B500" s="127">
        <v>46265</v>
      </c>
      <c r="C500" s="16">
        <v>293</v>
      </c>
      <c r="D500" s="16" t="s">
        <v>320</v>
      </c>
      <c r="E500" s="17">
        <v>1273.3699999999999</v>
      </c>
      <c r="F500" s="17">
        <v>1253.29</v>
      </c>
      <c r="G500" s="10" t="str">
        <f>VLOOKUP(Table11[[#This Row],[Store]],'Rates from Tracker'!A:B,2,0)</f>
        <v>West Sacramento</v>
      </c>
      <c r="H500" t="str">
        <f>VLOOKUP(D500,'Rates from Tracker'!A:C,3,0)</f>
        <v>Exceed Group West Sacramento</v>
      </c>
      <c r="I500" t="str">
        <f>VLOOKUP(Table11[[#This Row],[Franchisee]],'Rates from Tracker'!C:D,2,0)</f>
        <v>Chawla</v>
      </c>
      <c r="J500" s="10">
        <f>ROUND(IF(Table11[[#This Row],[Location]]="Belmont Market",Table11[[#This Row],[Column2]]*0.01,IF(Table11[[#This Row],[Location]]="Country Club Centre",Table11[[#This Row],[Column2]]*0.01,IF(Table11[[#This Row],[Location]]="Naval Air Station Norfolk",Table11[[#This Row],[Column2]]*0.005,F500*0.02))),2)</f>
        <v>25.07</v>
      </c>
      <c r="K50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00" s="11">
        <f t="shared" si="16"/>
        <v>62.66</v>
      </c>
      <c r="M500" s="10">
        <f t="shared" si="17"/>
        <v>87.72999999999999</v>
      </c>
    </row>
    <row r="501" spans="2:13" x14ac:dyDescent="0.25">
      <c r="B501" s="127">
        <v>46265</v>
      </c>
      <c r="C501" s="16">
        <v>296</v>
      </c>
      <c r="D501" s="16" t="s">
        <v>329</v>
      </c>
      <c r="E501" s="17">
        <v>1593.98</v>
      </c>
      <c r="F501" s="17">
        <v>1588.02</v>
      </c>
      <c r="G501" s="10" t="str">
        <f>VLOOKUP(Table11[[#This Row],[Store]],'Rates from Tracker'!A:B,2,0)</f>
        <v>Rancho Cordova</v>
      </c>
      <c r="H501" t="str">
        <f>VLOOKUP(D501,'Rates from Tracker'!A:C,3,0)</f>
        <v>Exceed Group Rancho Cordova</v>
      </c>
      <c r="I501" t="str">
        <f>VLOOKUP(Table11[[#This Row],[Franchisee]],'Rates from Tracker'!C:D,2,0)</f>
        <v>Chawla</v>
      </c>
      <c r="J501" s="10">
        <f>ROUND(IF(Table11[[#This Row],[Location]]="Belmont Market",Table11[[#This Row],[Column2]]*0.01,IF(Table11[[#This Row],[Location]]="Country Club Centre",Table11[[#This Row],[Column2]]*0.01,IF(Table11[[#This Row],[Location]]="Naval Air Station Norfolk",Table11[[#This Row],[Column2]]*0.005,F501*0.02))),2)</f>
        <v>31.76</v>
      </c>
      <c r="K50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01" s="11">
        <f t="shared" si="16"/>
        <v>79.400000000000006</v>
      </c>
      <c r="M501" s="10">
        <f t="shared" si="17"/>
        <v>111.16000000000001</v>
      </c>
    </row>
    <row r="502" spans="2:13" x14ac:dyDescent="0.25">
      <c r="B502" s="127">
        <v>46265</v>
      </c>
      <c r="C502" s="16">
        <v>324</v>
      </c>
      <c r="D502" s="16" t="s">
        <v>569</v>
      </c>
      <c r="E502" s="17">
        <v>1699.39</v>
      </c>
      <c r="F502" s="17">
        <v>1666.54</v>
      </c>
      <c r="G502" s="10" t="str">
        <f>VLOOKUP(Table11[[#This Row],[Store]],'Rates from Tracker'!A:B,2,0)</f>
        <v>American Fork</v>
      </c>
      <c r="H502" t="str">
        <f>VLOOKUP(D502,'Rates from Tracker'!A:C,3,0)</f>
        <v>SSR Holdings LLC</v>
      </c>
      <c r="I502" t="str">
        <f>VLOOKUP(Table11[[#This Row],[Franchisee]],'Rates from Tracker'!C:D,2,0)</f>
        <v>Bikram</v>
      </c>
      <c r="J502" s="10">
        <f>ROUND(IF(Table11[[#This Row],[Location]]="Belmont Market",Table11[[#This Row],[Column2]]*0.01,IF(Table11[[#This Row],[Location]]="Country Club Centre",Table11[[#This Row],[Column2]]*0.01,IF(Table11[[#This Row],[Location]]="Naval Air Station Norfolk",Table11[[#This Row],[Column2]]*0.005,F502*0.02))),2)</f>
        <v>33.33</v>
      </c>
      <c r="K50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02" s="11">
        <f t="shared" si="16"/>
        <v>16.670000000000002</v>
      </c>
      <c r="M502" s="10">
        <f t="shared" si="17"/>
        <v>50</v>
      </c>
    </row>
    <row r="503" spans="2:13" x14ac:dyDescent="0.25">
      <c r="B503" s="127">
        <v>46265</v>
      </c>
      <c r="C503" s="16">
        <v>325</v>
      </c>
      <c r="D503" s="16" t="s">
        <v>591</v>
      </c>
      <c r="E503" s="17">
        <v>1292.28</v>
      </c>
      <c r="F503" s="17">
        <v>1259.5899999999999</v>
      </c>
      <c r="G503" s="10" t="str">
        <f>VLOOKUP(Table11[[#This Row],[Store]],'Rates from Tracker'!A:B,2,0)</f>
        <v>Sugar House</v>
      </c>
      <c r="H503" t="str">
        <f>VLOOKUP(D503,'Rates from Tracker'!A:C,3,0)</f>
        <v>SSR Holdings LLC</v>
      </c>
      <c r="I503" t="str">
        <f>VLOOKUP(Table11[[#This Row],[Franchisee]],'Rates from Tracker'!C:D,2,0)</f>
        <v>Bikram</v>
      </c>
      <c r="J503" s="10">
        <f>ROUND(IF(Table11[[#This Row],[Location]]="Belmont Market",Table11[[#This Row],[Column2]]*0.01,IF(Table11[[#This Row],[Location]]="Country Club Centre",Table11[[#This Row],[Column2]]*0.01,IF(Table11[[#This Row],[Location]]="Naval Air Station Norfolk",Table11[[#This Row],[Column2]]*0.005,F503*0.02))),2)</f>
        <v>25.19</v>
      </c>
      <c r="K50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03" s="11">
        <f t="shared" si="16"/>
        <v>12.6</v>
      </c>
      <c r="M503" s="10">
        <f t="shared" si="17"/>
        <v>37.79</v>
      </c>
    </row>
    <row r="504" spans="2:13" x14ac:dyDescent="0.25">
      <c r="B504" s="127">
        <v>46265</v>
      </c>
      <c r="C504" s="16">
        <v>332</v>
      </c>
      <c r="D504" s="16" t="s">
        <v>583</v>
      </c>
      <c r="E504" s="17">
        <v>1581.34</v>
      </c>
      <c r="F504" s="17">
        <v>1560.82</v>
      </c>
      <c r="G504" s="10" t="str">
        <f>VLOOKUP(Table11[[#This Row],[Store]],'Rates from Tracker'!A:B,2,0)</f>
        <v>Riverton</v>
      </c>
      <c r="H504" t="str">
        <f>VLOOKUP(D504,'Rates from Tracker'!A:C,3,0)</f>
        <v>SSR Holdings LLC</v>
      </c>
      <c r="I504" t="str">
        <f>VLOOKUP(Table11[[#This Row],[Franchisee]],'Rates from Tracker'!C:D,2,0)</f>
        <v>Bikram</v>
      </c>
      <c r="J504" s="10">
        <f>ROUND(IF(Table11[[#This Row],[Location]]="Belmont Market",Table11[[#This Row],[Column2]]*0.01,IF(Table11[[#This Row],[Location]]="Country Club Centre",Table11[[#This Row],[Column2]]*0.01,IF(Table11[[#This Row],[Location]]="Naval Air Station Norfolk",Table11[[#This Row],[Column2]]*0.005,F504*0.02))),2)</f>
        <v>31.22</v>
      </c>
      <c r="K50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04" s="11">
        <f t="shared" si="16"/>
        <v>15.61</v>
      </c>
      <c r="M504" s="10">
        <f t="shared" si="17"/>
        <v>46.83</v>
      </c>
    </row>
    <row r="505" spans="2:13" x14ac:dyDescent="0.25">
      <c r="B505" s="127">
        <v>46265</v>
      </c>
      <c r="C505" s="16">
        <v>334</v>
      </c>
      <c r="D505" s="16" t="s">
        <v>577</v>
      </c>
      <c r="E505" s="17">
        <v>1479.95</v>
      </c>
      <c r="F505" s="17">
        <v>1439.13</v>
      </c>
      <c r="G505" s="10" t="str">
        <f>VLOOKUP(Table11[[#This Row],[Store]],'Rates from Tracker'!A:B,2,0)</f>
        <v>Layton</v>
      </c>
      <c r="H505" t="str">
        <f>VLOOKUP(D505,'Rates from Tracker'!A:C,3,0)</f>
        <v>SSR Holdings LLC</v>
      </c>
      <c r="I505" t="str">
        <f>VLOOKUP(Table11[[#This Row],[Franchisee]],'Rates from Tracker'!C:D,2,0)</f>
        <v>Bikram</v>
      </c>
      <c r="J505" s="10">
        <f>ROUND(IF(Table11[[#This Row],[Location]]="Belmont Market",Table11[[#This Row],[Column2]]*0.01,IF(Table11[[#This Row],[Location]]="Country Club Centre",Table11[[#This Row],[Column2]]*0.01,IF(Table11[[#This Row],[Location]]="Naval Air Station Norfolk",Table11[[#This Row],[Column2]]*0.005,F505*0.02))),2)</f>
        <v>28.78</v>
      </c>
      <c r="K50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05" s="11">
        <f t="shared" si="16"/>
        <v>14.39</v>
      </c>
      <c r="M505" s="10">
        <f t="shared" si="17"/>
        <v>43.17</v>
      </c>
    </row>
    <row r="506" spans="2:13" x14ac:dyDescent="0.25">
      <c r="B506" s="127">
        <v>46265</v>
      </c>
      <c r="C506" s="16">
        <v>338</v>
      </c>
      <c r="D506" s="16" t="s">
        <v>310</v>
      </c>
      <c r="E506" s="17">
        <v>1513.23</v>
      </c>
      <c r="F506" s="17">
        <v>1405.26</v>
      </c>
      <c r="G506" s="10" t="str">
        <f>VLOOKUP(Table11[[#This Row],[Store]],'Rates from Tracker'!A:B,2,0)</f>
        <v>Augusta Exchange</v>
      </c>
      <c r="H506" t="str">
        <f>VLOOKUP(D506,'Rates from Tracker'!A:C,3,0)</f>
        <v>Rolling Dough LLC</v>
      </c>
      <c r="I506" t="str">
        <f>VLOOKUP(Table11[[#This Row],[Franchisee]],'Rates from Tracker'!C:D,2,0)</f>
        <v>Connolly</v>
      </c>
      <c r="J506" s="10">
        <f>ROUND(IF(Table11[[#This Row],[Location]]="Belmont Market",Table11[[#This Row],[Column2]]*0.01,IF(Table11[[#This Row],[Location]]="Country Club Centre",Table11[[#This Row],[Column2]]*0.01,IF(Table11[[#This Row],[Location]]="Naval Air Station Norfolk",Table11[[#This Row],[Column2]]*0.005,F506*0.02))),2)</f>
        <v>28.11</v>
      </c>
      <c r="K50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06" s="11">
        <f t="shared" si="16"/>
        <v>70.260000000000005</v>
      </c>
      <c r="M506" s="10">
        <f t="shared" si="17"/>
        <v>98.37</v>
      </c>
    </row>
    <row r="507" spans="2:13" x14ac:dyDescent="0.25">
      <c r="B507" s="127">
        <v>46265</v>
      </c>
      <c r="C507" s="16">
        <v>348</v>
      </c>
      <c r="D507" s="16" t="s">
        <v>572</v>
      </c>
      <c r="E507" s="17">
        <v>2125.34</v>
      </c>
      <c r="F507" s="17">
        <v>2045.99</v>
      </c>
      <c r="G507" s="10" t="str">
        <f>VLOOKUP(Table11[[#This Row],[Store]],'Rates from Tracker'!A:B,2,0)</f>
        <v>Bend North</v>
      </c>
      <c r="H507" t="str">
        <f>VLOOKUP(D507,'Rates from Tracker'!A:C,3,0)</f>
        <v>SSR Holdings LLC</v>
      </c>
      <c r="I507" t="str">
        <f>VLOOKUP(Table11[[#This Row],[Franchisee]],'Rates from Tracker'!C:D,2,0)</f>
        <v>Bikram</v>
      </c>
      <c r="J507" s="10">
        <f>ROUND(IF(Table11[[#This Row],[Location]]="Belmont Market",Table11[[#This Row],[Column2]]*0.01,IF(Table11[[#This Row],[Location]]="Country Club Centre",Table11[[#This Row],[Column2]]*0.01,IF(Table11[[#This Row],[Location]]="Naval Air Station Norfolk",Table11[[#This Row],[Column2]]*0.005,F507*0.02))),2)</f>
        <v>40.92</v>
      </c>
      <c r="K50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07" s="11">
        <f t="shared" si="16"/>
        <v>20.46</v>
      </c>
      <c r="M507" s="10">
        <f t="shared" si="17"/>
        <v>61.38</v>
      </c>
    </row>
    <row r="508" spans="2:13" x14ac:dyDescent="0.25">
      <c r="B508" s="127">
        <v>46265</v>
      </c>
      <c r="C508" s="16">
        <v>349</v>
      </c>
      <c r="D508" s="16" t="s">
        <v>588</v>
      </c>
      <c r="E508" s="17">
        <v>2731.77</v>
      </c>
      <c r="F508" s="17">
        <v>2657.24</v>
      </c>
      <c r="G508" s="10" t="str">
        <f>VLOOKUP(Table11[[#This Row],[Store]],'Rates from Tracker'!A:B,2,0)</f>
        <v>South Medford</v>
      </c>
      <c r="H508" t="str">
        <f>VLOOKUP(D508,'Rates from Tracker'!A:C,3,0)</f>
        <v>SSR Holdings LLC</v>
      </c>
      <c r="I508" t="str">
        <f>VLOOKUP(Table11[[#This Row],[Franchisee]],'Rates from Tracker'!C:D,2,0)</f>
        <v>Bikram</v>
      </c>
      <c r="J508" s="10">
        <f>ROUND(IF(Table11[[#This Row],[Location]]="Belmont Market",Table11[[#This Row],[Column2]]*0.01,IF(Table11[[#This Row],[Location]]="Country Club Centre",Table11[[#This Row],[Column2]]*0.01,IF(Table11[[#This Row],[Location]]="Naval Air Station Norfolk",Table11[[#This Row],[Column2]]*0.005,F508*0.02))),2)</f>
        <v>53.14</v>
      </c>
      <c r="K50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08" s="11">
        <f t="shared" si="16"/>
        <v>26.57</v>
      </c>
      <c r="M508" s="10">
        <f t="shared" si="17"/>
        <v>79.710000000000008</v>
      </c>
    </row>
    <row r="509" spans="2:13" x14ac:dyDescent="0.25">
      <c r="B509" s="127">
        <v>46265</v>
      </c>
      <c r="C509" s="16">
        <v>352</v>
      </c>
      <c r="D509" s="16" t="s">
        <v>350</v>
      </c>
      <c r="E509" s="17">
        <v>1812.66</v>
      </c>
      <c r="F509" s="17">
        <v>1484.64</v>
      </c>
      <c r="G509" s="10" t="str">
        <f>VLOOKUP(Table11[[#This Row],[Store]],'Rates from Tracker'!A:B,2,0)</f>
        <v>Georgetown</v>
      </c>
      <c r="H509" t="str">
        <f>VLOOKUP(D509,'Rates from Tracker'!A:C,3,0)</f>
        <v>Cool Dough Development, LLC</v>
      </c>
      <c r="I509" t="str">
        <f>VLOOKUP(Table11[[#This Row],[Franchisee]],'Rates from Tracker'!C:D,2,0)</f>
        <v>Denning</v>
      </c>
      <c r="J509" s="10">
        <f>ROUND(IF(Table11[[#This Row],[Location]]="Belmont Market",Table11[[#This Row],[Column2]]*0.01,IF(Table11[[#This Row],[Location]]="Country Club Centre",Table11[[#This Row],[Column2]]*0.01,IF(Table11[[#This Row],[Location]]="Naval Air Station Norfolk",Table11[[#This Row],[Column2]]*0.005,F509*0.02))),2)</f>
        <v>29.69</v>
      </c>
      <c r="K50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09" s="11">
        <f t="shared" si="16"/>
        <v>74.23</v>
      </c>
      <c r="M509" s="10">
        <f t="shared" si="17"/>
        <v>103.92</v>
      </c>
    </row>
    <row r="510" spans="2:13" x14ac:dyDescent="0.25">
      <c r="B510" s="127">
        <v>46265</v>
      </c>
      <c r="C510" s="16">
        <v>366</v>
      </c>
      <c r="D510" s="16" t="s">
        <v>585</v>
      </c>
      <c r="E510" s="17">
        <v>1853.74</v>
      </c>
      <c r="F510" s="17">
        <v>1847.05</v>
      </c>
      <c r="G510" s="10" t="str">
        <f>VLOOKUP(Table11[[#This Row],[Store]],'Rates from Tracker'!A:B,2,0)</f>
        <v>Saratoga Springs</v>
      </c>
      <c r="H510" t="str">
        <f>VLOOKUP(D510,'Rates from Tracker'!A:C,3,0)</f>
        <v>SSR Holdings LLC</v>
      </c>
      <c r="I510" t="str">
        <f>VLOOKUP(Table11[[#This Row],[Franchisee]],'Rates from Tracker'!C:D,2,0)</f>
        <v>Bikram</v>
      </c>
      <c r="J510" s="10">
        <f>ROUND(IF(Table11[[#This Row],[Location]]="Belmont Market",Table11[[#This Row],[Column2]]*0.01,IF(Table11[[#This Row],[Location]]="Country Club Centre",Table11[[#This Row],[Column2]]*0.01,IF(Table11[[#This Row],[Location]]="Naval Air Station Norfolk",Table11[[#This Row],[Column2]]*0.005,F510*0.02))),2)</f>
        <v>36.94</v>
      </c>
      <c r="K51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10" s="11">
        <f t="shared" si="16"/>
        <v>18.47</v>
      </c>
      <c r="M510" s="10">
        <f t="shared" si="17"/>
        <v>55.41</v>
      </c>
    </row>
    <row r="511" spans="2:13" x14ac:dyDescent="0.25">
      <c r="B511" s="127">
        <v>46265</v>
      </c>
      <c r="C511" s="16">
        <v>384</v>
      </c>
      <c r="D511" s="16" t="s">
        <v>339</v>
      </c>
      <c r="E511" s="17">
        <v>2278.5</v>
      </c>
      <c r="F511" s="17">
        <v>2224.0600000000004</v>
      </c>
      <c r="G511" s="10" t="str">
        <f>VLOOKUP(Table11[[#This Row],[Store]],'Rates from Tracker'!A:B,2,0)</f>
        <v>Ralston Creek</v>
      </c>
      <c r="H511" t="str">
        <f>VLOOKUP(D511,'Rates from Tracker'!A:C,3,0)</f>
        <v>Best Pizza LLC</v>
      </c>
      <c r="I511" t="str">
        <f>VLOOKUP(Table11[[#This Row],[Franchisee]],'Rates from Tracker'!C:D,2,0)</f>
        <v>Merullo</v>
      </c>
      <c r="J511" s="10">
        <f>ROUND(IF(Table11[[#This Row],[Location]]="Belmont Market",Table11[[#This Row],[Column2]]*0.01,IF(Table11[[#This Row],[Location]]="Country Club Centre",Table11[[#This Row],[Column2]]*0.01,IF(Table11[[#This Row],[Location]]="Naval Air Station Norfolk",Table11[[#This Row],[Column2]]*0.005,F511*0.02))),2)</f>
        <v>44.48</v>
      </c>
      <c r="K51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11" s="11">
        <f t="shared" si="16"/>
        <v>111.2</v>
      </c>
      <c r="M511" s="10">
        <f t="shared" si="17"/>
        <v>155.68</v>
      </c>
    </row>
    <row r="512" spans="2:13" x14ac:dyDescent="0.25">
      <c r="B512" s="127">
        <v>46265</v>
      </c>
      <c r="C512" s="16">
        <v>413</v>
      </c>
      <c r="D512" s="16" t="s">
        <v>322</v>
      </c>
      <c r="E512" s="17">
        <v>1240.43</v>
      </c>
      <c r="F512" s="17">
        <v>1230.5</v>
      </c>
      <c r="G512" s="10" t="str">
        <f>VLOOKUP(Table11[[#This Row],[Store]],'Rates from Tracker'!A:B,2,0)</f>
        <v>Madison</v>
      </c>
      <c r="H512" t="str">
        <f>VLOOKUP(D512,'Rates from Tracker'!A:C,3,0)</f>
        <v>APizza Delight Inc</v>
      </c>
      <c r="I512" t="str">
        <f>VLOOKUP(Table11[[#This Row],[Franchisee]],'Rates from Tracker'!C:D,2,0)</f>
        <v>Patel</v>
      </c>
      <c r="J512" s="10">
        <f>ROUND(IF(Table11[[#This Row],[Location]]="Belmont Market",Table11[[#This Row],[Column2]]*0.01,IF(Table11[[#This Row],[Location]]="Country Club Centre",Table11[[#This Row],[Column2]]*0.01,IF(Table11[[#This Row],[Location]]="Naval Air Station Norfolk",Table11[[#This Row],[Column2]]*0.005,F512*0.02))),2)</f>
        <v>24.61</v>
      </c>
      <c r="K51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12" s="11">
        <f t="shared" si="16"/>
        <v>12.31</v>
      </c>
      <c r="M512" s="10">
        <f t="shared" si="17"/>
        <v>36.92</v>
      </c>
    </row>
    <row r="513" spans="2:13" x14ac:dyDescent="0.25">
      <c r="B513" s="127">
        <v>46265</v>
      </c>
      <c r="C513" s="16">
        <v>421</v>
      </c>
      <c r="D513" s="16" t="s">
        <v>575</v>
      </c>
      <c r="E513" s="17">
        <v>1862.62</v>
      </c>
      <c r="F513" s="17">
        <v>1835.03</v>
      </c>
      <c r="G513" s="10" t="str">
        <f>VLOOKUP(Table11[[#This Row],[Store]],'Rates from Tracker'!A:B,2,0)</f>
        <v>Fort Union</v>
      </c>
      <c r="H513" t="str">
        <f>VLOOKUP(D513,'Rates from Tracker'!A:C,3,0)</f>
        <v>SSR Holdings LLC</v>
      </c>
      <c r="I513" t="str">
        <f>VLOOKUP(Table11[[#This Row],[Franchisee]],'Rates from Tracker'!C:D,2,0)</f>
        <v>Bikram</v>
      </c>
      <c r="J513" s="10">
        <f>ROUND(IF(Table11[[#This Row],[Location]]="Belmont Market",Table11[[#This Row],[Column2]]*0.01,IF(Table11[[#This Row],[Location]]="Country Club Centre",Table11[[#This Row],[Column2]]*0.01,IF(Table11[[#This Row],[Location]]="Naval Air Station Norfolk",Table11[[#This Row],[Column2]]*0.005,F513*0.02))),2)</f>
        <v>36.700000000000003</v>
      </c>
      <c r="K51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13" s="11">
        <f t="shared" si="16"/>
        <v>18.350000000000001</v>
      </c>
      <c r="M513" s="10">
        <f t="shared" si="17"/>
        <v>55.050000000000004</v>
      </c>
    </row>
    <row r="514" spans="2:13" x14ac:dyDescent="0.25">
      <c r="B514" s="127">
        <v>46265</v>
      </c>
      <c r="C514" s="16">
        <v>425</v>
      </c>
      <c r="D514" s="16" t="s">
        <v>381</v>
      </c>
      <c r="E514" s="17">
        <v>2495.36</v>
      </c>
      <c r="F514" s="17">
        <v>2419.44</v>
      </c>
      <c r="G514" s="10" t="str">
        <f>VLOOKUP(Table11[[#This Row],[Store]],'Rates from Tracker'!A:B,2,0)</f>
        <v>Crown Point</v>
      </c>
      <c r="H514" t="str">
        <f>VLOOKUP(D514,'Rates from Tracker'!A:C,3,0)</f>
        <v>Best Pizza LLC</v>
      </c>
      <c r="I514" t="str">
        <f>VLOOKUP(Table11[[#This Row],[Franchisee]],'Rates from Tracker'!C:D,2,0)</f>
        <v>Merullo</v>
      </c>
      <c r="J514" s="10">
        <f>ROUND(IF(Table11[[#This Row],[Location]]="Belmont Market",Table11[[#This Row],[Column2]]*0.01,IF(Table11[[#This Row],[Location]]="Country Club Centre",Table11[[#This Row],[Column2]]*0.01,IF(Table11[[#This Row],[Location]]="Naval Air Station Norfolk",Table11[[#This Row],[Column2]]*0.005,F514*0.02))),2)</f>
        <v>48.39</v>
      </c>
      <c r="K51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14" s="11">
        <f t="shared" si="16"/>
        <v>120.97</v>
      </c>
      <c r="M514" s="10">
        <f t="shared" si="17"/>
        <v>169.36</v>
      </c>
    </row>
    <row r="515" spans="2:13" x14ac:dyDescent="0.25">
      <c r="B515" s="127">
        <v>46265</v>
      </c>
      <c r="C515" s="16">
        <v>429</v>
      </c>
      <c r="D515" s="16" t="s">
        <v>587</v>
      </c>
      <c r="E515" s="17">
        <v>2095.71</v>
      </c>
      <c r="F515" s="17">
        <v>2059.2600000000002</v>
      </c>
      <c r="G515" s="10" t="str">
        <f>VLOOKUP(Table11[[#This Row],[Store]],'Rates from Tracker'!A:B,2,0)</f>
        <v>South Jordan</v>
      </c>
      <c r="H515" t="str">
        <f>VLOOKUP(D515,'Rates from Tracker'!A:C,3,0)</f>
        <v>SSR Holdings LLC</v>
      </c>
      <c r="I515" t="str">
        <f>VLOOKUP(Table11[[#This Row],[Franchisee]],'Rates from Tracker'!C:D,2,0)</f>
        <v>Bikram</v>
      </c>
      <c r="J515" s="10">
        <f>ROUND(IF(Table11[[#This Row],[Location]]="Belmont Market",Table11[[#This Row],[Column2]]*0.01,IF(Table11[[#This Row],[Location]]="Country Club Centre",Table11[[#This Row],[Column2]]*0.01,IF(Table11[[#This Row],[Location]]="Naval Air Station Norfolk",Table11[[#This Row],[Column2]]*0.005,F515*0.02))),2)</f>
        <v>41.19</v>
      </c>
      <c r="K51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15" s="11">
        <f t="shared" si="16"/>
        <v>20.59</v>
      </c>
      <c r="M515" s="10">
        <f t="shared" si="17"/>
        <v>61.78</v>
      </c>
    </row>
    <row r="516" spans="2:13" x14ac:dyDescent="0.25">
      <c r="B516" s="127">
        <v>46265</v>
      </c>
      <c r="C516" s="16">
        <v>433</v>
      </c>
      <c r="D516" s="16" t="s">
        <v>576</v>
      </c>
      <c r="E516" s="17">
        <v>2292.9699999999998</v>
      </c>
      <c r="F516" s="17">
        <v>2223.7800000000002</v>
      </c>
      <c r="G516" s="10" t="str">
        <f>VLOOKUP(Table11[[#This Row],[Store]],'Rates from Tracker'!A:B,2,0)</f>
        <v>Grants Pass</v>
      </c>
      <c r="H516" t="str">
        <f>VLOOKUP(D516,'Rates from Tracker'!A:C,3,0)</f>
        <v>SSR Holdings LLC</v>
      </c>
      <c r="I516" t="str">
        <f>VLOOKUP(Table11[[#This Row],[Franchisee]],'Rates from Tracker'!C:D,2,0)</f>
        <v>Bikram</v>
      </c>
      <c r="J516" s="10">
        <f>ROUND(IF(Table11[[#This Row],[Location]]="Belmont Market",Table11[[#This Row],[Column2]]*0.01,IF(Table11[[#This Row],[Location]]="Country Club Centre",Table11[[#This Row],[Column2]]*0.01,IF(Table11[[#This Row],[Location]]="Naval Air Station Norfolk",Table11[[#This Row],[Column2]]*0.005,F516*0.02))),2)</f>
        <v>44.48</v>
      </c>
      <c r="K51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16" s="11">
        <f t="shared" si="16"/>
        <v>22.24</v>
      </c>
      <c r="M516" s="10">
        <f t="shared" si="17"/>
        <v>66.72</v>
      </c>
    </row>
    <row r="517" spans="2:13" x14ac:dyDescent="0.25">
      <c r="B517" s="127">
        <v>46265</v>
      </c>
      <c r="C517" s="16">
        <v>452</v>
      </c>
      <c r="D517" s="16" t="s">
        <v>346</v>
      </c>
      <c r="E517" s="17">
        <v>1492.98</v>
      </c>
      <c r="F517" s="17">
        <v>1430.8</v>
      </c>
      <c r="G517" s="10" t="str">
        <f>VLOOKUP(Table11[[#This Row],[Store]],'Rates from Tracker'!A:B,2,0)</f>
        <v>Mobile</v>
      </c>
      <c r="H517" t="str">
        <f>VLOOKUP(D517,'Rates from Tracker'!A:C,3,0)</f>
        <v>MAA MELDI 3980 Inc</v>
      </c>
      <c r="I517" t="str">
        <f>VLOOKUP(Table11[[#This Row],[Franchisee]],'Rates from Tracker'!C:D,2,0)</f>
        <v>Neal Patel</v>
      </c>
      <c r="J517" s="10">
        <f>ROUND(IF(Table11[[#This Row],[Location]]="Belmont Market",Table11[[#This Row],[Column2]]*0.01,IF(Table11[[#This Row],[Location]]="Country Club Centre",Table11[[#This Row],[Column2]]*0.01,IF(Table11[[#This Row],[Location]]="Naval Air Station Norfolk",Table11[[#This Row],[Column2]]*0.005,F517*0.02))),2)</f>
        <v>28.62</v>
      </c>
      <c r="K51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17" s="11">
        <f t="shared" ref="L517:L580" si="18">ROUND(F517*K517,2)</f>
        <v>14.31</v>
      </c>
      <c r="M517" s="10">
        <f t="shared" ref="M517:M580" si="19">J517+L517</f>
        <v>42.93</v>
      </c>
    </row>
    <row r="518" spans="2:13" x14ac:dyDescent="0.25">
      <c r="B518" s="127">
        <v>46265</v>
      </c>
      <c r="C518" s="16">
        <v>478</v>
      </c>
      <c r="D518" s="16" t="s">
        <v>581</v>
      </c>
      <c r="E518" s="17">
        <v>1098.2</v>
      </c>
      <c r="F518" s="17">
        <v>1011.87</v>
      </c>
      <c r="G518" s="10" t="str">
        <f>VLOOKUP(Table11[[#This Row],[Store]],'Rates from Tracker'!A:B,2,0)</f>
        <v>Pocatello</v>
      </c>
      <c r="H518" t="str">
        <f>VLOOKUP(D518,'Rates from Tracker'!A:C,3,0)</f>
        <v>SSR Holdings LLC</v>
      </c>
      <c r="I518" t="str">
        <f>VLOOKUP(Table11[[#This Row],[Franchisee]],'Rates from Tracker'!C:D,2,0)</f>
        <v>Bikram</v>
      </c>
      <c r="J518" s="10">
        <f>ROUND(IF(Table11[[#This Row],[Location]]="Belmont Market",Table11[[#This Row],[Column2]]*0.01,IF(Table11[[#This Row],[Location]]="Country Club Centre",Table11[[#This Row],[Column2]]*0.01,IF(Table11[[#This Row],[Location]]="Naval Air Station Norfolk",Table11[[#This Row],[Column2]]*0.005,F518*0.02))),2)</f>
        <v>20.239999999999998</v>
      </c>
      <c r="K51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18" s="11">
        <f t="shared" si="18"/>
        <v>10.119999999999999</v>
      </c>
      <c r="M518" s="10">
        <f t="shared" si="19"/>
        <v>30.36</v>
      </c>
    </row>
    <row r="519" spans="2:13" x14ac:dyDescent="0.25">
      <c r="B519" s="127">
        <v>46265</v>
      </c>
      <c r="C519" s="16">
        <v>514</v>
      </c>
      <c r="D519" s="16" t="s">
        <v>589</v>
      </c>
      <c r="E519" s="17">
        <v>2035.29</v>
      </c>
      <c r="F519" s="17">
        <v>1912.6</v>
      </c>
      <c r="G519" s="10" t="str">
        <f>VLOOKUP(Table11[[#This Row],[Store]],'Rates from Tracker'!A:B,2,0)</f>
        <v>Spanish Fork</v>
      </c>
      <c r="H519" t="str">
        <f>VLOOKUP(D519,'Rates from Tracker'!A:C,3,0)</f>
        <v>SSR Holdings LLC</v>
      </c>
      <c r="I519" t="str">
        <f>VLOOKUP(Table11[[#This Row],[Franchisee]],'Rates from Tracker'!C:D,2,0)</f>
        <v>Bikram</v>
      </c>
      <c r="J519" s="10">
        <f>ROUND(IF(Table11[[#This Row],[Location]]="Belmont Market",Table11[[#This Row],[Column2]]*0.01,IF(Table11[[#This Row],[Location]]="Country Club Centre",Table11[[#This Row],[Column2]]*0.01,IF(Table11[[#This Row],[Location]]="Naval Air Station Norfolk",Table11[[#This Row],[Column2]]*0.005,F519*0.02))),2)</f>
        <v>38.25</v>
      </c>
      <c r="K51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19" s="11">
        <f t="shared" si="18"/>
        <v>19.13</v>
      </c>
      <c r="M519" s="10">
        <f t="shared" si="19"/>
        <v>57.379999999999995</v>
      </c>
    </row>
    <row r="520" spans="2:13" x14ac:dyDescent="0.25">
      <c r="B520" s="127">
        <v>46265</v>
      </c>
      <c r="C520" s="16">
        <v>515</v>
      </c>
      <c r="D520" s="16" t="s">
        <v>574</v>
      </c>
      <c r="E520" s="17">
        <v>1234.83</v>
      </c>
      <c r="F520" s="17">
        <v>1231.43</v>
      </c>
      <c r="G520" s="10" t="str">
        <f>VLOOKUP(Table11[[#This Row],[Store]],'Rates from Tracker'!A:B,2,0)</f>
        <v>Downtown Boise</v>
      </c>
      <c r="H520" t="str">
        <f>VLOOKUP(D520,'Rates from Tracker'!A:C,3,0)</f>
        <v>SSR Holdings LLC</v>
      </c>
      <c r="I520" t="str">
        <f>VLOOKUP(Table11[[#This Row],[Franchisee]],'Rates from Tracker'!C:D,2,0)</f>
        <v>Bikram</v>
      </c>
      <c r="J520" s="10">
        <f>ROUND(IF(Table11[[#This Row],[Location]]="Belmont Market",Table11[[#This Row],[Column2]]*0.01,IF(Table11[[#This Row],[Location]]="Country Club Centre",Table11[[#This Row],[Column2]]*0.01,IF(Table11[[#This Row],[Location]]="Naval Air Station Norfolk",Table11[[#This Row],[Column2]]*0.005,F520*0.02))),2)</f>
        <v>24.63</v>
      </c>
      <c r="K52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20" s="11">
        <f t="shared" si="18"/>
        <v>12.31</v>
      </c>
      <c r="M520" s="10">
        <f t="shared" si="19"/>
        <v>36.94</v>
      </c>
    </row>
    <row r="521" spans="2:13" x14ac:dyDescent="0.25">
      <c r="B521" s="127">
        <v>46265</v>
      </c>
      <c r="C521" s="16">
        <v>521</v>
      </c>
      <c r="D521" s="16" t="s">
        <v>573</v>
      </c>
      <c r="E521" s="17">
        <v>1253.05</v>
      </c>
      <c r="F521" s="17">
        <v>1234.52</v>
      </c>
      <c r="G521" s="10" t="str">
        <f>VLOOKUP(Table11[[#This Row],[Store]],'Rates from Tracker'!A:B,2,0)</f>
        <v>Boise Town Square</v>
      </c>
      <c r="H521" t="str">
        <f>VLOOKUP(D521,'Rates from Tracker'!A:C,3,0)</f>
        <v>SSR Holdings LLC</v>
      </c>
      <c r="I521" t="str">
        <f>VLOOKUP(Table11[[#This Row],[Franchisee]],'Rates from Tracker'!C:D,2,0)</f>
        <v>Bikram</v>
      </c>
      <c r="J521" s="10">
        <f>ROUND(IF(Table11[[#This Row],[Location]]="Belmont Market",Table11[[#This Row],[Column2]]*0.01,IF(Table11[[#This Row],[Location]]="Country Club Centre",Table11[[#This Row],[Column2]]*0.01,IF(Table11[[#This Row],[Location]]="Naval Air Station Norfolk",Table11[[#This Row],[Column2]]*0.005,F521*0.02))),2)</f>
        <v>24.69</v>
      </c>
      <c r="K52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21" s="11">
        <f t="shared" si="18"/>
        <v>12.35</v>
      </c>
      <c r="M521" s="10">
        <f t="shared" si="19"/>
        <v>37.04</v>
      </c>
    </row>
    <row r="522" spans="2:13" x14ac:dyDescent="0.25">
      <c r="B522" s="127">
        <v>46265</v>
      </c>
      <c r="C522" s="16">
        <v>586</v>
      </c>
      <c r="D522" s="16" t="s">
        <v>453</v>
      </c>
      <c r="E522" s="17">
        <v>2507.91</v>
      </c>
      <c r="F522" s="17">
        <v>2381.1400000000008</v>
      </c>
      <c r="G522" s="10" t="str">
        <f>VLOOKUP(Table11[[#This Row],[Store]],'Rates from Tracker'!A:B,2,0)</f>
        <v>Johnstown</v>
      </c>
      <c r="H522" t="str">
        <f>VLOOKUP(D522,'Rates from Tracker'!A:C,3,0)</f>
        <v>Best Pizza LLC</v>
      </c>
      <c r="I522" t="str">
        <f>VLOOKUP(Table11[[#This Row],[Franchisee]],'Rates from Tracker'!C:D,2,0)</f>
        <v>Merullo</v>
      </c>
      <c r="J522" s="10">
        <f>ROUND(IF(Table11[[#This Row],[Location]]="Belmont Market",Table11[[#This Row],[Column2]]*0.01,IF(Table11[[#This Row],[Location]]="Country Club Centre",Table11[[#This Row],[Column2]]*0.01,IF(Table11[[#This Row],[Location]]="Naval Air Station Norfolk",Table11[[#This Row],[Column2]]*0.005,F522*0.02))),2)</f>
        <v>47.62</v>
      </c>
      <c r="K52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22" s="11">
        <f t="shared" si="18"/>
        <v>119.06</v>
      </c>
      <c r="M522" s="10">
        <f t="shared" si="19"/>
        <v>166.68</v>
      </c>
    </row>
    <row r="523" spans="2:13" x14ac:dyDescent="0.25">
      <c r="B523" s="127">
        <v>46265</v>
      </c>
      <c r="C523" s="16">
        <v>605</v>
      </c>
      <c r="D523" s="16" t="s">
        <v>501</v>
      </c>
      <c r="E523" s="17">
        <v>2095.9899999999998</v>
      </c>
      <c r="F523" s="17">
        <v>1911.2800000000002</v>
      </c>
      <c r="G523" s="10" t="str">
        <f>VLOOKUP(Table11[[#This Row],[Store]],'Rates from Tracker'!A:B,2,0)</f>
        <v>Campus Oaks</v>
      </c>
      <c r="H523" t="str">
        <f>VLOOKUP(D523,'Rates from Tracker'!A:C,3,0)</f>
        <v>Exceed Group Campus Oaks</v>
      </c>
      <c r="I523" t="str">
        <f>VLOOKUP(Table11[[#This Row],[Franchisee]],'Rates from Tracker'!C:D,2,0)</f>
        <v>Chawla</v>
      </c>
      <c r="J523" s="10">
        <f>ROUND(IF(Table11[[#This Row],[Location]]="Belmont Market",Table11[[#This Row],[Column2]]*0.01,IF(Table11[[#This Row],[Location]]="Country Club Centre",Table11[[#This Row],[Column2]]*0.01,IF(Table11[[#This Row],[Location]]="Naval Air Station Norfolk",Table11[[#This Row],[Column2]]*0.005,F523*0.02))),2)</f>
        <v>38.229999999999997</v>
      </c>
      <c r="K52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23" s="11">
        <f t="shared" si="18"/>
        <v>95.56</v>
      </c>
      <c r="M523" s="10">
        <f t="shared" si="19"/>
        <v>133.79</v>
      </c>
    </row>
    <row r="524" spans="2:13" x14ac:dyDescent="0.25">
      <c r="B524" s="127">
        <v>46265</v>
      </c>
      <c r="C524" s="16">
        <v>607</v>
      </c>
      <c r="D524" s="16" t="s">
        <v>481</v>
      </c>
      <c r="E524" s="17">
        <v>2679.65</v>
      </c>
      <c r="F524" s="17">
        <v>2638.69</v>
      </c>
      <c r="G524" s="10" t="str">
        <f>VLOOKUP(Table11[[#This Row],[Store]],'Rates from Tracker'!A:B,2,0)</f>
        <v>Tower</v>
      </c>
      <c r="H524" t="str">
        <f>VLOOKUP(D524,'Rates from Tracker'!A:C,3,0)</f>
        <v>Best Pizza LLC</v>
      </c>
      <c r="I524" t="str">
        <f>VLOOKUP(Table11[[#This Row],[Franchisee]],'Rates from Tracker'!C:D,2,0)</f>
        <v>Merullo</v>
      </c>
      <c r="J524" s="10">
        <f>ROUND(IF(Table11[[#This Row],[Location]]="Belmont Market",Table11[[#This Row],[Column2]]*0.01,IF(Table11[[#This Row],[Location]]="Country Club Centre",Table11[[#This Row],[Column2]]*0.01,IF(Table11[[#This Row],[Location]]="Naval Air Station Norfolk",Table11[[#This Row],[Column2]]*0.005,F524*0.02))),2)</f>
        <v>52.77</v>
      </c>
      <c r="K52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24" s="11">
        <f t="shared" si="18"/>
        <v>131.93</v>
      </c>
      <c r="M524" s="10">
        <f t="shared" si="19"/>
        <v>184.70000000000002</v>
      </c>
    </row>
    <row r="525" spans="2:13" x14ac:dyDescent="0.25">
      <c r="B525" s="127">
        <v>46265</v>
      </c>
      <c r="C525" s="16">
        <v>608</v>
      </c>
      <c r="D525" s="16" t="s">
        <v>488</v>
      </c>
      <c r="E525" s="17">
        <v>3538.51</v>
      </c>
      <c r="F525" s="17">
        <v>3448.1600000000039</v>
      </c>
      <c r="G525" s="10" t="str">
        <f>VLOOKUP(Table11[[#This Row],[Store]],'Rates from Tracker'!A:B,2,0)</f>
        <v>Sheridan Parkway</v>
      </c>
      <c r="H525" t="str">
        <f>VLOOKUP(D525,'Rates from Tracker'!A:C,3,0)</f>
        <v>Best Pizza LLC</v>
      </c>
      <c r="I525" t="str">
        <f>VLOOKUP(Table11[[#This Row],[Franchisee]],'Rates from Tracker'!C:D,2,0)</f>
        <v>Merullo</v>
      </c>
      <c r="J525" s="10">
        <f>ROUND(IF(Table11[[#This Row],[Location]]="Belmont Market",Table11[[#This Row],[Column2]]*0.01,IF(Table11[[#This Row],[Location]]="Country Club Centre",Table11[[#This Row],[Column2]]*0.01,IF(Table11[[#This Row],[Location]]="Naval Air Station Norfolk",Table11[[#This Row],[Column2]]*0.005,F525*0.02))),2)</f>
        <v>68.959999999999994</v>
      </c>
      <c r="K52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25" s="11">
        <f t="shared" si="18"/>
        <v>172.41</v>
      </c>
      <c r="M525" s="10">
        <f t="shared" si="19"/>
        <v>241.37</v>
      </c>
    </row>
    <row r="526" spans="2:13" x14ac:dyDescent="0.25">
      <c r="B526" s="127">
        <v>46265</v>
      </c>
      <c r="C526" s="16">
        <v>616</v>
      </c>
      <c r="D526" s="16" t="s">
        <v>480</v>
      </c>
      <c r="E526" s="17">
        <v>1983.64</v>
      </c>
      <c r="F526" s="17">
        <v>1948.46</v>
      </c>
      <c r="G526" s="10" t="str">
        <f>VLOOKUP(Table11[[#This Row],[Store]],'Rates from Tracker'!A:B,2,0)</f>
        <v>Eureka</v>
      </c>
      <c r="H526" t="str">
        <f>VLOOKUP(D526,'Rates from Tracker'!A:C,3,0)</f>
        <v>Exceed Group Eureka</v>
      </c>
      <c r="I526" t="str">
        <f>VLOOKUP(Table11[[#This Row],[Franchisee]],'Rates from Tracker'!C:D,2,0)</f>
        <v>Chawla</v>
      </c>
      <c r="J526" s="10">
        <f>ROUND(IF(Table11[[#This Row],[Location]]="Belmont Market",Table11[[#This Row],[Column2]]*0.01,IF(Table11[[#This Row],[Location]]="Country Club Centre",Table11[[#This Row],[Column2]]*0.01,IF(Table11[[#This Row],[Location]]="Naval Air Station Norfolk",Table11[[#This Row],[Column2]]*0.005,F526*0.02))),2)</f>
        <v>38.97</v>
      </c>
      <c r="K52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26" s="11">
        <f t="shared" si="18"/>
        <v>97.42</v>
      </c>
      <c r="M526" s="10">
        <f t="shared" si="19"/>
        <v>136.38999999999999</v>
      </c>
    </row>
    <row r="527" spans="2:13" x14ac:dyDescent="0.25">
      <c r="B527" s="127">
        <v>46265</v>
      </c>
      <c r="C527" s="16">
        <v>617</v>
      </c>
      <c r="D527" s="16" t="s">
        <v>494</v>
      </c>
      <c r="E527" s="17">
        <v>2376.61</v>
      </c>
      <c r="F527" s="17">
        <v>2311.3200000000002</v>
      </c>
      <c r="G527" s="10" t="str">
        <f>VLOOKUP(Table11[[#This Row],[Store]],'Rates from Tracker'!A:B,2,0)</f>
        <v>Lowry</v>
      </c>
      <c r="H527" t="str">
        <f>VLOOKUP(D527,'Rates from Tracker'!A:C,3,0)</f>
        <v>Best Pizza LLC</v>
      </c>
      <c r="I527" t="str">
        <f>VLOOKUP(Table11[[#This Row],[Franchisee]],'Rates from Tracker'!C:D,2,0)</f>
        <v>Merullo</v>
      </c>
      <c r="J527" s="10">
        <f>ROUND(IF(Table11[[#This Row],[Location]]="Belmont Market",Table11[[#This Row],[Column2]]*0.01,IF(Table11[[#This Row],[Location]]="Country Club Centre",Table11[[#This Row],[Column2]]*0.01,IF(Table11[[#This Row],[Location]]="Naval Air Station Norfolk",Table11[[#This Row],[Column2]]*0.005,F527*0.02))),2)</f>
        <v>46.23</v>
      </c>
      <c r="K52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27" s="11">
        <f t="shared" si="18"/>
        <v>115.57</v>
      </c>
      <c r="M527" s="10">
        <f t="shared" si="19"/>
        <v>161.79999999999998</v>
      </c>
    </row>
    <row r="528" spans="2:13" x14ac:dyDescent="0.25">
      <c r="B528" s="127">
        <v>46265</v>
      </c>
      <c r="C528" s="16">
        <v>648</v>
      </c>
      <c r="D528" s="16" t="s">
        <v>454</v>
      </c>
      <c r="E528" s="17">
        <v>1758.92</v>
      </c>
      <c r="F528" s="17">
        <v>1646.97</v>
      </c>
      <c r="G528" s="10" t="str">
        <f>VLOOKUP(Table11[[#This Row],[Store]],'Rates from Tracker'!A:B,2,0)</f>
        <v>Belmont Market</v>
      </c>
      <c r="H528" t="str">
        <f>VLOOKUP(D528,'Rates from Tracker'!A:C,3,0)</f>
        <v>V.I. Pizza Belmont</v>
      </c>
      <c r="I528" t="str">
        <f>VLOOKUP(Table11[[#This Row],[Franchisee]],'Rates from Tracker'!C:D,2,0)</f>
        <v>Hayden</v>
      </c>
      <c r="J528" s="10">
        <f>ROUND(IF(Table11[[#This Row],[Location]]="Belmont Market",Table11[[#This Row],[Column2]]*0.01,IF(Table11[[#This Row],[Location]]="Country Club Centre",Table11[[#This Row],[Column2]]*0.01,IF(Table11[[#This Row],[Location]]="Naval Air Station Norfolk",Table11[[#This Row],[Column2]]*0.005,F528*0.02))),2)</f>
        <v>16.47</v>
      </c>
      <c r="K52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528" s="11">
        <f t="shared" si="18"/>
        <v>32.94</v>
      </c>
      <c r="M528" s="10">
        <f t="shared" si="19"/>
        <v>49.41</v>
      </c>
    </row>
    <row r="529" spans="2:13" x14ac:dyDescent="0.25">
      <c r="B529" s="127">
        <v>46265</v>
      </c>
      <c r="C529" s="16">
        <v>659</v>
      </c>
      <c r="D529" s="16" t="s">
        <v>570</v>
      </c>
      <c r="E529" s="17">
        <v>1082.6500000000001</v>
      </c>
      <c r="F529" s="17">
        <v>1058.6400000000001</v>
      </c>
      <c r="G529" s="10" t="str">
        <f>VLOOKUP(Table11[[#This Row],[Store]],'Rates from Tracker'!A:B,2,0)</f>
        <v>Ammon</v>
      </c>
      <c r="H529" t="str">
        <f>VLOOKUP(D529,'Rates from Tracker'!A:C,3,0)</f>
        <v>SSR Holdings LLC</v>
      </c>
      <c r="I529" t="str">
        <f>VLOOKUP(Table11[[#This Row],[Franchisee]],'Rates from Tracker'!C:D,2,0)</f>
        <v>Bikram</v>
      </c>
      <c r="J529" s="10">
        <f>ROUND(IF(Table11[[#This Row],[Location]]="Belmont Market",Table11[[#This Row],[Column2]]*0.01,IF(Table11[[#This Row],[Location]]="Country Club Centre",Table11[[#This Row],[Column2]]*0.01,IF(Table11[[#This Row],[Location]]="Naval Air Station Norfolk",Table11[[#This Row],[Column2]]*0.005,F529*0.02))),2)</f>
        <v>21.17</v>
      </c>
      <c r="K52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29" s="11">
        <f t="shared" si="18"/>
        <v>10.59</v>
      </c>
      <c r="M529" s="10">
        <f t="shared" si="19"/>
        <v>31.76</v>
      </c>
    </row>
    <row r="530" spans="2:13" x14ac:dyDescent="0.25">
      <c r="B530" s="127">
        <v>46265</v>
      </c>
      <c r="C530" s="16">
        <v>699</v>
      </c>
      <c r="D530" s="16" t="s">
        <v>521</v>
      </c>
      <c r="E530" s="17">
        <v>1569.12</v>
      </c>
      <c r="F530" s="17">
        <v>1521.1900000000023</v>
      </c>
      <c r="G530" s="10" t="str">
        <f>VLOOKUP(Table11[[#This Row],[Store]],'Rates from Tracker'!A:B,2,0)</f>
        <v>Grand Junction</v>
      </c>
      <c r="H530" t="str">
        <f>VLOOKUP(D530,'Rates from Tracker'!A:C,3,0)</f>
        <v>Best Pizza LLC</v>
      </c>
      <c r="I530" t="str">
        <f>VLOOKUP(Table11[[#This Row],[Franchisee]],'Rates from Tracker'!C:D,2,0)</f>
        <v>Merullo</v>
      </c>
      <c r="J530" s="10">
        <f>ROUND(IF(Table11[[#This Row],[Location]]="Belmont Market",Table11[[#This Row],[Column2]]*0.01,IF(Table11[[#This Row],[Location]]="Country Club Centre",Table11[[#This Row],[Column2]]*0.01,IF(Table11[[#This Row],[Location]]="Naval Air Station Norfolk",Table11[[#This Row],[Column2]]*0.005,F530*0.02))),2)</f>
        <v>30.42</v>
      </c>
      <c r="K53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30" s="11">
        <f t="shared" si="18"/>
        <v>76.06</v>
      </c>
      <c r="M530" s="10">
        <f t="shared" si="19"/>
        <v>106.48</v>
      </c>
    </row>
    <row r="531" spans="2:13" x14ac:dyDescent="0.25">
      <c r="B531" s="127">
        <v>46265</v>
      </c>
      <c r="C531" s="16">
        <v>711</v>
      </c>
      <c r="D531" s="16" t="s">
        <v>526</v>
      </c>
      <c r="E531" s="17">
        <v>823.04</v>
      </c>
      <c r="F531" s="17">
        <v>785.17</v>
      </c>
      <c r="G531" s="10" t="str">
        <f>VLOOKUP(Table11[[#This Row],[Store]],'Rates from Tracker'!A:B,2,0)</f>
        <v>Country Club Centre</v>
      </c>
      <c r="H531" t="str">
        <f>VLOOKUP(D531,'Rates from Tracker'!A:C,3,0)</f>
        <v>V.I. Pizza Country Club</v>
      </c>
      <c r="I531" t="str">
        <f>VLOOKUP(Table11[[#This Row],[Franchisee]],'Rates from Tracker'!C:D,2,0)</f>
        <v>Hayden</v>
      </c>
      <c r="J531" s="10">
        <f>ROUND(IF(Table11[[#This Row],[Location]]="Belmont Market",Table11[[#This Row],[Column2]]*0.01,IF(Table11[[#This Row],[Location]]="Country Club Centre",Table11[[#This Row],[Column2]]*0.01,IF(Table11[[#This Row],[Location]]="Naval Air Station Norfolk",Table11[[#This Row],[Column2]]*0.005,F531*0.02))),2)</f>
        <v>7.85</v>
      </c>
      <c r="K53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31" s="11">
        <f t="shared" si="18"/>
        <v>7.85</v>
      </c>
      <c r="M531" s="10">
        <f t="shared" si="19"/>
        <v>15.7</v>
      </c>
    </row>
    <row r="532" spans="2:13" x14ac:dyDescent="0.25">
      <c r="B532" s="127">
        <v>46265</v>
      </c>
      <c r="C532" s="16">
        <v>722</v>
      </c>
      <c r="D532" s="16" t="s">
        <v>535</v>
      </c>
      <c r="E532" s="17">
        <v>1849.71</v>
      </c>
      <c r="F532" s="17">
        <v>1802.09</v>
      </c>
      <c r="G532" s="10" t="str">
        <f>VLOOKUP(Table11[[#This Row],[Store]],'Rates from Tracker'!A:B,2,0)</f>
        <v>Creekwalk</v>
      </c>
      <c r="H532" t="str">
        <f>VLOOKUP(D532,'Rates from Tracker'!A:C,3,0)</f>
        <v>Best Pizza LLC</v>
      </c>
      <c r="I532" t="str">
        <f>VLOOKUP(Table11[[#This Row],[Franchisee]],'Rates from Tracker'!C:D,2,0)</f>
        <v>Merullo</v>
      </c>
      <c r="J532" s="10">
        <f>ROUND(IF(Table11[[#This Row],[Location]]="Belmont Market",Table11[[#This Row],[Column2]]*0.01,IF(Table11[[#This Row],[Location]]="Country Club Centre",Table11[[#This Row],[Column2]]*0.01,IF(Table11[[#This Row],[Location]]="Naval Air Station Norfolk",Table11[[#This Row],[Column2]]*0.005,F532*0.02))),2)</f>
        <v>36.04</v>
      </c>
      <c r="K53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532" s="11">
        <f t="shared" si="18"/>
        <v>36.04</v>
      </c>
      <c r="M532" s="10">
        <f t="shared" si="19"/>
        <v>72.08</v>
      </c>
    </row>
    <row r="533" spans="2:13" x14ac:dyDescent="0.25">
      <c r="B533" s="127">
        <v>46265</v>
      </c>
      <c r="C533" s="16">
        <v>731</v>
      </c>
      <c r="D533" s="16" t="s">
        <v>542</v>
      </c>
      <c r="E533" s="17">
        <v>1230.33</v>
      </c>
      <c r="F533" s="17">
        <v>1226.1099999999999</v>
      </c>
      <c r="G533" s="10" t="str">
        <f>VLOOKUP(Table11[[#This Row],[Store]],'Rates from Tracker'!A:B,2,0)</f>
        <v>Naval Air Station Norfolk</v>
      </c>
      <c r="H533" t="str">
        <f>VLOOKUP(D533,'Rates from Tracker'!A:C,3,0)</f>
        <v>IDAD-5 Inc</v>
      </c>
      <c r="I533" t="str">
        <f>VLOOKUP(Table11[[#This Row],[Franchisee]],'Rates from Tracker'!C:D,2,0)</f>
        <v>Ingenito</v>
      </c>
      <c r="J533" s="10">
        <f>ROUND(IF(Table11[[#This Row],[Location]]="Belmont Market",Table11[[#This Row],[Column2]]*0.01,IF(Table11[[#This Row],[Location]]="Country Club Centre",Table11[[#This Row],[Column2]]*0.01,IF(Table11[[#This Row],[Location]]="Naval Air Station Norfolk",Table11[[#This Row],[Column2]]*0.005,F533*0.02))),2)</f>
        <v>6.13</v>
      </c>
      <c r="K53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533" s="11">
        <f t="shared" si="18"/>
        <v>24.52</v>
      </c>
      <c r="M533" s="10">
        <f t="shared" si="19"/>
        <v>30.65</v>
      </c>
    </row>
    <row r="534" spans="2:13" x14ac:dyDescent="0.25">
      <c r="B534" s="127">
        <v>46265</v>
      </c>
      <c r="C534" s="16">
        <v>761</v>
      </c>
      <c r="D534" s="16" t="s">
        <v>584</v>
      </c>
      <c r="E534" s="17">
        <v>1154.6199999999999</v>
      </c>
      <c r="F534" s="17">
        <v>1105.8800000000001</v>
      </c>
      <c r="G534" s="10" t="str">
        <f>VLOOKUP(Table11[[#This Row],[Store]],'Rates from Tracker'!A:B,2,0)</f>
        <v>Roseburg</v>
      </c>
      <c r="H534" t="str">
        <f>VLOOKUP(D534,'Rates from Tracker'!A:C,3,0)</f>
        <v>SSR Holdings LLC</v>
      </c>
      <c r="I534" t="str">
        <f>VLOOKUP(Table11[[#This Row],[Franchisee]],'Rates from Tracker'!C:D,2,0)</f>
        <v>Bikram</v>
      </c>
      <c r="J534" s="10">
        <f>ROUND(IF(Table11[[#This Row],[Location]]="Belmont Market",Table11[[#This Row],[Column2]]*0.01,IF(Table11[[#This Row],[Location]]="Country Club Centre",Table11[[#This Row],[Column2]]*0.01,IF(Table11[[#This Row],[Location]]="Naval Air Station Norfolk",Table11[[#This Row],[Column2]]*0.005,F534*0.02))),2)</f>
        <v>22.12</v>
      </c>
      <c r="K53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34" s="11">
        <f t="shared" si="18"/>
        <v>11.06</v>
      </c>
      <c r="M534" s="10">
        <f t="shared" si="19"/>
        <v>33.18</v>
      </c>
    </row>
    <row r="535" spans="2:13" x14ac:dyDescent="0.25">
      <c r="B535" s="127">
        <v>46265</v>
      </c>
      <c r="C535" s="16">
        <v>777</v>
      </c>
      <c r="D535" s="16" t="s">
        <v>590</v>
      </c>
      <c r="E535" s="17">
        <v>1617.32</v>
      </c>
      <c r="F535" s="17">
        <v>1581.66</v>
      </c>
      <c r="G535" s="10" t="str">
        <f>VLOOKUP(Table11[[#This Row],[Store]],'Rates from Tracker'!A:B,2,0)</f>
        <v>Springfield-Oregon</v>
      </c>
      <c r="H535" t="str">
        <f>VLOOKUP(D535,'Rates from Tracker'!A:C,3,0)</f>
        <v>SSR Holdings LLC</v>
      </c>
      <c r="I535" t="str">
        <f>VLOOKUP(Table11[[#This Row],[Franchisee]],'Rates from Tracker'!C:D,2,0)</f>
        <v>Bikram</v>
      </c>
      <c r="J535" s="10">
        <f>ROUND(IF(Table11[[#This Row],[Location]]="Belmont Market",Table11[[#This Row],[Column2]]*0.01,IF(Table11[[#This Row],[Location]]="Country Club Centre",Table11[[#This Row],[Column2]]*0.01,IF(Table11[[#This Row],[Location]]="Naval Air Station Norfolk",Table11[[#This Row],[Column2]]*0.005,F535*0.02))),2)</f>
        <v>31.63</v>
      </c>
      <c r="K53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35" s="11">
        <f t="shared" si="18"/>
        <v>15.82</v>
      </c>
      <c r="M535" s="10">
        <f t="shared" si="19"/>
        <v>47.45</v>
      </c>
    </row>
    <row r="536" spans="2:13" x14ac:dyDescent="0.25">
      <c r="B536" s="127">
        <v>46265</v>
      </c>
      <c r="C536" s="16">
        <v>820</v>
      </c>
      <c r="D536" s="16" t="s">
        <v>538</v>
      </c>
      <c r="E536" s="17">
        <v>2374.4899999999998</v>
      </c>
      <c r="F536" s="17">
        <v>2210.9999999999991</v>
      </c>
      <c r="G536" s="10" t="str">
        <f>VLOOKUP(Table11[[#This Row],[Store]],'Rates from Tracker'!A:B,2,0)</f>
        <v>Churn Creek</v>
      </c>
      <c r="H536" t="str">
        <f>VLOOKUP(D536,'Rates from Tracker'!A:C,3,0)</f>
        <v>Exceed Group Churn Creek</v>
      </c>
      <c r="I536" t="str">
        <f>VLOOKUP(Table11[[#This Row],[Franchisee]],'Rates from Tracker'!C:D,2,0)</f>
        <v>Chawla</v>
      </c>
      <c r="J536" s="10">
        <f>ROUND(IF(Table11[[#This Row],[Location]]="Belmont Market",Table11[[#This Row],[Column2]]*0.01,IF(Table11[[#This Row],[Location]]="Country Club Centre",Table11[[#This Row],[Column2]]*0.01,IF(Table11[[#This Row],[Location]]="Naval Air Station Norfolk",Table11[[#This Row],[Column2]]*0.005,F536*0.02))),2)</f>
        <v>44.22</v>
      </c>
      <c r="K53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36" s="11">
        <f t="shared" si="18"/>
        <v>110.55</v>
      </c>
      <c r="M536" s="10">
        <f t="shared" si="19"/>
        <v>154.76999999999998</v>
      </c>
    </row>
    <row r="537" spans="2:13" x14ac:dyDescent="0.25">
      <c r="B537" s="127">
        <v>46258</v>
      </c>
      <c r="C537" s="16">
        <v>228</v>
      </c>
      <c r="D537" s="16" t="s">
        <v>131</v>
      </c>
      <c r="E537" s="17">
        <v>1175.3800000000001</v>
      </c>
      <c r="F537" s="17">
        <v>1140.1099999999999</v>
      </c>
      <c r="G537" s="10" t="str">
        <f>VLOOKUP(Table11[[#This Row],[Store]],'Rates from Tracker'!A:B,2,0)</f>
        <v>Auburn Village</v>
      </c>
      <c r="H537" t="str">
        <f>VLOOKUP(D537,'Rates from Tracker'!A:C,3,0)</f>
        <v>Exceed Group Auburn Village</v>
      </c>
      <c r="I537" t="str">
        <f>VLOOKUP(Table11[[#This Row],[Franchisee]],'Rates from Tracker'!C:D,2,0)</f>
        <v>Chawla</v>
      </c>
      <c r="J537" s="10">
        <f>ROUND(IF(Table11[[#This Row],[Location]]="Belmont Market",Table11[[#This Row],[Column2]]*0.01,IF(Table11[[#This Row],[Location]]="Country Club Centre",Table11[[#This Row],[Column2]]*0.01,IF(Table11[[#This Row],[Location]]="Naval Air Station Norfolk",Table11[[#This Row],[Column2]]*0.005,F537*0.02))),2)</f>
        <v>22.8</v>
      </c>
      <c r="K53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37" s="11">
        <f t="shared" si="18"/>
        <v>57.01</v>
      </c>
      <c r="M537" s="10">
        <f t="shared" si="19"/>
        <v>79.81</v>
      </c>
    </row>
    <row r="538" spans="2:13" x14ac:dyDescent="0.25">
      <c r="B538" s="127">
        <v>46258</v>
      </c>
      <c r="C538" s="16">
        <v>231</v>
      </c>
      <c r="D538" s="16" t="s">
        <v>133</v>
      </c>
      <c r="E538" s="17">
        <v>2064.84</v>
      </c>
      <c r="F538" s="17">
        <v>2061.85</v>
      </c>
      <c r="G538" s="10" t="str">
        <f>VLOOKUP(Table11[[#This Row],[Store]],'Rates from Tracker'!A:B,2,0)</f>
        <v>Kennesaw</v>
      </c>
      <c r="H538" t="str">
        <f>VLOOKUP(D538,'Rates from Tracker'!A:C,3,0)</f>
        <v>Southern Pie LLC</v>
      </c>
      <c r="I538" t="str">
        <f>VLOOKUP(Table11[[#This Row],[Franchisee]],'Rates from Tracker'!C:D,2,0)</f>
        <v>Hill/Hayden</v>
      </c>
      <c r="J538" s="10">
        <f>ROUND(IF(Table11[[#This Row],[Location]]="Belmont Market",Table11[[#This Row],[Column2]]*0.01,IF(Table11[[#This Row],[Location]]="Country Club Centre",Table11[[#This Row],[Column2]]*0.01,IF(Table11[[#This Row],[Location]]="Naval Air Station Norfolk",Table11[[#This Row],[Column2]]*0.005,F538*0.02))),2)</f>
        <v>41.24</v>
      </c>
      <c r="K53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38" s="11">
        <f t="shared" si="18"/>
        <v>103.09</v>
      </c>
      <c r="M538" s="10">
        <f t="shared" si="19"/>
        <v>144.33000000000001</v>
      </c>
    </row>
    <row r="539" spans="2:13" x14ac:dyDescent="0.25">
      <c r="B539" s="127">
        <v>46258</v>
      </c>
      <c r="C539" s="16">
        <v>241</v>
      </c>
      <c r="D539" s="16" t="s">
        <v>592</v>
      </c>
      <c r="E539" s="17">
        <v>2320.2199999999998</v>
      </c>
      <c r="F539" s="17">
        <v>2286.39</v>
      </c>
      <c r="G539" s="10" t="str">
        <f>VLOOKUP(Table11[[#This Row],[Store]],'Rates from Tracker'!A:B,2,0)</f>
        <v>Woods Cross</v>
      </c>
      <c r="H539" t="str">
        <f>VLOOKUP(D539,'Rates from Tracker'!A:C,3,0)</f>
        <v>SSR Holdings LLC</v>
      </c>
      <c r="I539" t="str">
        <f>VLOOKUP(Table11[[#This Row],[Franchisee]],'Rates from Tracker'!C:D,2,0)</f>
        <v>Bikram</v>
      </c>
      <c r="J539" s="10">
        <f>ROUND(IF(Table11[[#This Row],[Location]]="Belmont Market",Table11[[#This Row],[Column2]]*0.01,IF(Table11[[#This Row],[Location]]="Country Club Centre",Table11[[#This Row],[Column2]]*0.01,IF(Table11[[#This Row],[Location]]="Naval Air Station Norfolk",Table11[[#This Row],[Column2]]*0.005,F539*0.02))),2)</f>
        <v>45.73</v>
      </c>
      <c r="K53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39" s="11">
        <f t="shared" si="18"/>
        <v>22.86</v>
      </c>
      <c r="M539" s="10">
        <f t="shared" si="19"/>
        <v>68.59</v>
      </c>
    </row>
    <row r="540" spans="2:13" x14ac:dyDescent="0.25">
      <c r="B540" s="127">
        <v>46258</v>
      </c>
      <c r="C540" s="16">
        <v>244</v>
      </c>
      <c r="D540" s="16" t="s">
        <v>155</v>
      </c>
      <c r="E540" s="17">
        <v>1341.64</v>
      </c>
      <c r="F540" s="17">
        <v>1308.3699999999999</v>
      </c>
      <c r="G540" s="10" t="str">
        <f>VLOOKUP(Table11[[#This Row],[Store]],'Rates from Tracker'!A:B,2,0)</f>
        <v>Redfield Promenade</v>
      </c>
      <c r="H540" t="str">
        <f>VLOOKUP(D540,'Rates from Tracker'!A:C,3,0)</f>
        <v>Exceed Group Redfield Promenade</v>
      </c>
      <c r="I540" t="str">
        <f>VLOOKUP(Table11[[#This Row],[Franchisee]],'Rates from Tracker'!C:D,2,0)</f>
        <v>Chawla</v>
      </c>
      <c r="J540" s="10">
        <f>ROUND(IF(Table11[[#This Row],[Location]]="Belmont Market",Table11[[#This Row],[Column2]]*0.01,IF(Table11[[#This Row],[Location]]="Country Club Centre",Table11[[#This Row],[Column2]]*0.01,IF(Table11[[#This Row],[Location]]="Naval Air Station Norfolk",Table11[[#This Row],[Column2]]*0.005,F540*0.02))),2)</f>
        <v>26.17</v>
      </c>
      <c r="K54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40" s="11">
        <f t="shared" si="18"/>
        <v>65.42</v>
      </c>
      <c r="M540" s="10">
        <f t="shared" si="19"/>
        <v>91.59</v>
      </c>
    </row>
    <row r="541" spans="2:13" x14ac:dyDescent="0.25">
      <c r="B541" s="127">
        <v>46258</v>
      </c>
      <c r="C541" s="16">
        <v>245</v>
      </c>
      <c r="D541" s="16" t="s">
        <v>157</v>
      </c>
      <c r="E541" s="17">
        <v>1152.1199999999999</v>
      </c>
      <c r="F541" s="17">
        <v>1095.3800000000001</v>
      </c>
      <c r="G541" s="10" t="str">
        <f>VLOOKUP(Table11[[#This Row],[Store]],'Rates from Tracker'!A:B,2,0)</f>
        <v>Evansville #11</v>
      </c>
      <c r="H541" t="str">
        <f>VLOOKUP(D541,'Rates from Tracker'!A:C,3,0)</f>
        <v>Cool Dough Development, LLC</v>
      </c>
      <c r="I541" t="str">
        <f>VLOOKUP(Table11[[#This Row],[Franchisee]],'Rates from Tracker'!C:D,2,0)</f>
        <v>Denning</v>
      </c>
      <c r="J541" s="10">
        <f>ROUND(IF(Table11[[#This Row],[Location]]="Belmont Market",Table11[[#This Row],[Column2]]*0.01,IF(Table11[[#This Row],[Location]]="Country Club Centre",Table11[[#This Row],[Column2]]*0.01,IF(Table11[[#This Row],[Location]]="Naval Air Station Norfolk",Table11[[#This Row],[Column2]]*0.005,F541*0.02))),2)</f>
        <v>21.91</v>
      </c>
      <c r="K54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41" s="11">
        <f t="shared" si="18"/>
        <v>54.77</v>
      </c>
      <c r="M541" s="10">
        <f t="shared" si="19"/>
        <v>76.680000000000007</v>
      </c>
    </row>
    <row r="542" spans="2:13" x14ac:dyDescent="0.25">
      <c r="B542" s="127">
        <v>46258</v>
      </c>
      <c r="C542" s="16">
        <v>251</v>
      </c>
      <c r="D542" s="16" t="s">
        <v>258</v>
      </c>
      <c r="E542" s="17">
        <v>3123.19</v>
      </c>
      <c r="F542" s="17">
        <v>3005.5300000000007</v>
      </c>
      <c r="G542" s="10" t="str">
        <f>VLOOKUP(Table11[[#This Row],[Store]],'Rates from Tracker'!A:B,2,0)</f>
        <v>Westminster Promenade</v>
      </c>
      <c r="H542" t="str">
        <f>VLOOKUP(D542,'Rates from Tracker'!A:C,3,0)</f>
        <v>Best Pizza LLC</v>
      </c>
      <c r="I542" t="str">
        <f>VLOOKUP(Table11[[#This Row],[Franchisee]],'Rates from Tracker'!C:D,2,0)</f>
        <v>Merullo</v>
      </c>
      <c r="J542" s="10">
        <f>ROUND(IF(Table11[[#This Row],[Location]]="Belmont Market",Table11[[#This Row],[Column2]]*0.01,IF(Table11[[#This Row],[Location]]="Country Club Centre",Table11[[#This Row],[Column2]]*0.01,IF(Table11[[#This Row],[Location]]="Naval Air Station Norfolk",Table11[[#This Row],[Column2]]*0.005,F542*0.02))),2)</f>
        <v>60.11</v>
      </c>
      <c r="K54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42" s="11">
        <f t="shared" si="18"/>
        <v>150.28</v>
      </c>
      <c r="M542" s="10">
        <f t="shared" si="19"/>
        <v>210.39</v>
      </c>
    </row>
    <row r="543" spans="2:13" x14ac:dyDescent="0.25">
      <c r="B543" s="127">
        <v>46258</v>
      </c>
      <c r="C543" s="16">
        <v>253</v>
      </c>
      <c r="D543" s="16" t="s">
        <v>580</v>
      </c>
      <c r="E543" s="17">
        <v>1739.45</v>
      </c>
      <c r="F543" s="17">
        <v>1730.16</v>
      </c>
      <c r="G543" s="10" t="str">
        <f>VLOOKUP(Table11[[#This Row],[Store]],'Rates from Tracker'!A:B,2,0)</f>
        <v>Park City</v>
      </c>
      <c r="H543" t="str">
        <f>VLOOKUP(D543,'Rates from Tracker'!A:C,3,0)</f>
        <v>SSR Holdings LLC</v>
      </c>
      <c r="I543" t="str">
        <f>VLOOKUP(Table11[[#This Row],[Franchisee]],'Rates from Tracker'!C:D,2,0)</f>
        <v>Bikram</v>
      </c>
      <c r="J543" s="10">
        <f>ROUND(IF(Table11[[#This Row],[Location]]="Belmont Market",Table11[[#This Row],[Column2]]*0.01,IF(Table11[[#This Row],[Location]]="Country Club Centre",Table11[[#This Row],[Column2]]*0.01,IF(Table11[[#This Row],[Location]]="Naval Air Station Norfolk",Table11[[#This Row],[Column2]]*0.005,F543*0.02))),2)</f>
        <v>34.6</v>
      </c>
      <c r="K54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43" s="11">
        <f t="shared" si="18"/>
        <v>17.3</v>
      </c>
      <c r="M543" s="10">
        <f t="shared" si="19"/>
        <v>51.900000000000006</v>
      </c>
    </row>
    <row r="544" spans="2:13" x14ac:dyDescent="0.25">
      <c r="B544" s="127">
        <v>46258</v>
      </c>
      <c r="C544" s="16">
        <v>256</v>
      </c>
      <c r="D544" s="16" t="s">
        <v>266</v>
      </c>
      <c r="E544" s="17">
        <v>2323.5300000000002</v>
      </c>
      <c r="F544" s="17">
        <v>2091.1899999999982</v>
      </c>
      <c r="G544" s="10" t="str">
        <f>VLOOKUP(Table11[[#This Row],[Store]],'Rates from Tracker'!A:B,2,0)</f>
        <v>S Academy Highlands</v>
      </c>
      <c r="H544" t="str">
        <f>VLOOKUP(D544,'Rates from Tracker'!A:C,3,0)</f>
        <v>Best Pizza LLC</v>
      </c>
      <c r="I544" t="str">
        <f>VLOOKUP(Table11[[#This Row],[Franchisee]],'Rates from Tracker'!C:D,2,0)</f>
        <v>Merullo</v>
      </c>
      <c r="J544" s="10">
        <f>ROUND(IF(Table11[[#This Row],[Location]]="Belmont Market",Table11[[#This Row],[Column2]]*0.01,IF(Table11[[#This Row],[Location]]="Country Club Centre",Table11[[#This Row],[Column2]]*0.01,IF(Table11[[#This Row],[Location]]="Naval Air Station Norfolk",Table11[[#This Row],[Column2]]*0.005,F544*0.02))),2)</f>
        <v>41.82</v>
      </c>
      <c r="K54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44" s="11">
        <f t="shared" si="18"/>
        <v>104.56</v>
      </c>
      <c r="M544" s="10">
        <f t="shared" si="19"/>
        <v>146.38</v>
      </c>
    </row>
    <row r="545" spans="2:13" x14ac:dyDescent="0.25">
      <c r="B545" s="127">
        <v>46258</v>
      </c>
      <c r="C545" s="16">
        <v>258</v>
      </c>
      <c r="D545" s="16" t="s">
        <v>582</v>
      </c>
      <c r="E545" s="17">
        <v>1631.09</v>
      </c>
      <c r="F545" s="17">
        <v>1607.28</v>
      </c>
      <c r="G545" s="10" t="str">
        <f>VLOOKUP(Table11[[#This Row],[Store]],'Rates from Tracker'!A:B,2,0)</f>
        <v>Riverdale</v>
      </c>
      <c r="H545" t="str">
        <f>VLOOKUP(D545,'Rates from Tracker'!A:C,3,0)</f>
        <v>SSR Holdings LLC</v>
      </c>
      <c r="I545" t="str">
        <f>VLOOKUP(Table11[[#This Row],[Franchisee]],'Rates from Tracker'!C:D,2,0)</f>
        <v>Bikram</v>
      </c>
      <c r="J545" s="10">
        <f>ROUND(IF(Table11[[#This Row],[Location]]="Belmont Market",Table11[[#This Row],[Column2]]*0.01,IF(Table11[[#This Row],[Location]]="Country Club Centre",Table11[[#This Row],[Column2]]*0.01,IF(Table11[[#This Row],[Location]]="Naval Air Station Norfolk",Table11[[#This Row],[Column2]]*0.005,F545*0.02))),2)</f>
        <v>32.15</v>
      </c>
      <c r="K54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45" s="11">
        <f t="shared" si="18"/>
        <v>16.07</v>
      </c>
      <c r="M545" s="10">
        <f t="shared" si="19"/>
        <v>48.22</v>
      </c>
    </row>
    <row r="546" spans="2:13" x14ac:dyDescent="0.25">
      <c r="B546" s="127">
        <v>46258</v>
      </c>
      <c r="C546" s="16">
        <v>260</v>
      </c>
      <c r="D546" s="16" t="s">
        <v>280</v>
      </c>
      <c r="E546" s="17">
        <v>2612.2800000000002</v>
      </c>
      <c r="F546" s="17">
        <v>2525.880000000001</v>
      </c>
      <c r="G546" s="10" t="str">
        <f>VLOOKUP(Table11[[#This Row],[Store]],'Rates from Tracker'!A:B,2,0)</f>
        <v>Highlands Ranch</v>
      </c>
      <c r="H546" t="str">
        <f>VLOOKUP(D546,'Rates from Tracker'!A:C,3,0)</f>
        <v>Best Pizza LLC</v>
      </c>
      <c r="I546" t="str">
        <f>VLOOKUP(Table11[[#This Row],[Franchisee]],'Rates from Tracker'!C:D,2,0)</f>
        <v>Merullo</v>
      </c>
      <c r="J546" s="10">
        <f>ROUND(IF(Table11[[#This Row],[Location]]="Belmont Market",Table11[[#This Row],[Column2]]*0.01,IF(Table11[[#This Row],[Location]]="Country Club Centre",Table11[[#This Row],[Column2]]*0.01,IF(Table11[[#This Row],[Location]]="Naval Air Station Norfolk",Table11[[#This Row],[Column2]]*0.005,F546*0.02))),2)</f>
        <v>50.52</v>
      </c>
      <c r="K54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46" s="11">
        <f t="shared" si="18"/>
        <v>126.29</v>
      </c>
      <c r="M546" s="10">
        <f t="shared" si="19"/>
        <v>176.81</v>
      </c>
    </row>
    <row r="547" spans="2:13" x14ac:dyDescent="0.25">
      <c r="B547" s="127">
        <v>46258</v>
      </c>
      <c r="C547" s="16">
        <v>265</v>
      </c>
      <c r="D547" s="16" t="s">
        <v>267</v>
      </c>
      <c r="E547" s="17">
        <v>4084.63</v>
      </c>
      <c r="F547" s="17">
        <v>3956.29</v>
      </c>
      <c r="G547" s="10" t="str">
        <f>VLOOKUP(Table11[[#This Row],[Store]],'Rates from Tracker'!A:B,2,0)</f>
        <v>Dublin Commons</v>
      </c>
      <c r="H547" t="str">
        <f>VLOOKUP(D547,'Rates from Tracker'!A:C,3,0)</f>
        <v>Best Pizza LLC</v>
      </c>
      <c r="I547" t="str">
        <f>VLOOKUP(Table11[[#This Row],[Franchisee]],'Rates from Tracker'!C:D,2,0)</f>
        <v>Merullo</v>
      </c>
      <c r="J547" s="10">
        <f>ROUND(IF(Table11[[#This Row],[Location]]="Belmont Market",Table11[[#This Row],[Column2]]*0.01,IF(Table11[[#This Row],[Location]]="Country Club Centre",Table11[[#This Row],[Column2]]*0.01,IF(Table11[[#This Row],[Location]]="Naval Air Station Norfolk",Table11[[#This Row],[Column2]]*0.005,F547*0.02))),2)</f>
        <v>79.13</v>
      </c>
      <c r="K54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47" s="11">
        <f t="shared" si="18"/>
        <v>197.81</v>
      </c>
      <c r="M547" s="10">
        <f t="shared" si="19"/>
        <v>276.94</v>
      </c>
    </row>
    <row r="548" spans="2:13" x14ac:dyDescent="0.25">
      <c r="B548" s="127">
        <v>46258</v>
      </c>
      <c r="C548" s="16">
        <v>267</v>
      </c>
      <c r="D548" s="16" t="s">
        <v>281</v>
      </c>
      <c r="E548" s="17">
        <v>960.33</v>
      </c>
      <c r="F548" s="17">
        <v>954.34</v>
      </c>
      <c r="G548" s="10" t="str">
        <f>VLOOKUP(Table11[[#This Row],[Store]],'Rates from Tracker'!A:B,2,0)</f>
        <v>Decatur</v>
      </c>
      <c r="H548" t="str">
        <f>VLOOKUP(D548,'Rates from Tracker'!A:C,3,0)</f>
        <v>DAZ9</v>
      </c>
      <c r="I548" t="str">
        <f>VLOOKUP(Table11[[#This Row],[Franchisee]],'Rates from Tracker'!C:D,2,0)</f>
        <v>Neal Patel</v>
      </c>
      <c r="J548" s="10">
        <f>ROUND(IF(Table11[[#This Row],[Location]]="Belmont Market",Table11[[#This Row],[Column2]]*0.01,IF(Table11[[#This Row],[Location]]="Country Club Centre",Table11[[#This Row],[Column2]]*0.01,IF(Table11[[#This Row],[Location]]="Naval Air Station Norfolk",Table11[[#This Row],[Column2]]*0.005,F548*0.02))),2)</f>
        <v>19.09</v>
      </c>
      <c r="K54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48" s="11">
        <f t="shared" si="18"/>
        <v>9.5399999999999991</v>
      </c>
      <c r="M548" s="10">
        <f t="shared" si="19"/>
        <v>28.63</v>
      </c>
    </row>
    <row r="549" spans="2:13" x14ac:dyDescent="0.25">
      <c r="B549" s="127">
        <v>46258</v>
      </c>
      <c r="C549" s="16">
        <v>272</v>
      </c>
      <c r="D549" s="16" t="s">
        <v>290</v>
      </c>
      <c r="E549" s="17">
        <v>2706.7</v>
      </c>
      <c r="F549" s="17">
        <v>2648.76</v>
      </c>
      <c r="G549" s="10" t="str">
        <f>VLOOKUP(Table11[[#This Row],[Store]],'Rates from Tracker'!A:B,2,0)</f>
        <v>Northfield Commons</v>
      </c>
      <c r="H549" t="str">
        <f>VLOOKUP(D549,'Rates from Tracker'!A:C,3,0)</f>
        <v>Best Pizza LLC</v>
      </c>
      <c r="I549" t="str">
        <f>VLOOKUP(Table11[[#This Row],[Franchisee]],'Rates from Tracker'!C:D,2,0)</f>
        <v>Merullo</v>
      </c>
      <c r="J549" s="10">
        <f>ROUND(IF(Table11[[#This Row],[Location]]="Belmont Market",Table11[[#This Row],[Column2]]*0.01,IF(Table11[[#This Row],[Location]]="Country Club Centre",Table11[[#This Row],[Column2]]*0.01,IF(Table11[[#This Row],[Location]]="Naval Air Station Norfolk",Table11[[#This Row],[Column2]]*0.005,F549*0.02))),2)</f>
        <v>52.98</v>
      </c>
      <c r="K54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49" s="11">
        <f t="shared" si="18"/>
        <v>132.44</v>
      </c>
      <c r="M549" s="10">
        <f t="shared" si="19"/>
        <v>185.42</v>
      </c>
    </row>
    <row r="550" spans="2:13" x14ac:dyDescent="0.25">
      <c r="B550" s="127">
        <v>46258</v>
      </c>
      <c r="C550" s="16">
        <v>278</v>
      </c>
      <c r="D550" s="16" t="s">
        <v>284</v>
      </c>
      <c r="E550" s="17">
        <v>1940.5</v>
      </c>
      <c r="F550" s="17">
        <v>1910.93</v>
      </c>
      <c r="G550" s="10" t="str">
        <f>VLOOKUP(Table11[[#This Row],[Store]],'Rates from Tracker'!A:B,2,0)</f>
        <v>Diamond Circle</v>
      </c>
      <c r="H550" t="str">
        <f>VLOOKUP(D550,'Rates from Tracker'!A:C,3,0)</f>
        <v>Best Pizza LLC</v>
      </c>
      <c r="I550" t="str">
        <f>VLOOKUP(Table11[[#This Row],[Franchisee]],'Rates from Tracker'!C:D,2,0)</f>
        <v>Merullo</v>
      </c>
      <c r="J550" s="10">
        <f>ROUND(IF(Table11[[#This Row],[Location]]="Belmont Market",Table11[[#This Row],[Column2]]*0.01,IF(Table11[[#This Row],[Location]]="Country Club Centre",Table11[[#This Row],[Column2]]*0.01,IF(Table11[[#This Row],[Location]]="Naval Air Station Norfolk",Table11[[#This Row],[Column2]]*0.005,F550*0.02))),2)</f>
        <v>38.22</v>
      </c>
      <c r="K55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50" s="11">
        <f t="shared" si="18"/>
        <v>95.55</v>
      </c>
      <c r="M550" s="10">
        <f t="shared" si="19"/>
        <v>133.76999999999998</v>
      </c>
    </row>
    <row r="551" spans="2:13" x14ac:dyDescent="0.25">
      <c r="B551" s="127">
        <v>46258</v>
      </c>
      <c r="C551" s="16">
        <v>279</v>
      </c>
      <c r="D551" s="16" t="s">
        <v>299</v>
      </c>
      <c r="E551" s="17">
        <v>1419.36</v>
      </c>
      <c r="F551" s="17">
        <v>1350.87</v>
      </c>
      <c r="G551" s="10" t="str">
        <f>VLOOKUP(Table11[[#This Row],[Store]],'Rates from Tracker'!A:B,2,0)</f>
        <v>Lexington</v>
      </c>
      <c r="H551" t="str">
        <f>VLOOKUP(D551,'Rates from Tracker'!A:C,3,0)</f>
        <v>Rolling Dough LLC</v>
      </c>
      <c r="I551" t="str">
        <f>VLOOKUP(Table11[[#This Row],[Franchisee]],'Rates from Tracker'!C:D,2,0)</f>
        <v>Connolly</v>
      </c>
      <c r="J551" s="10">
        <f>ROUND(IF(Table11[[#This Row],[Location]]="Belmont Market",Table11[[#This Row],[Column2]]*0.01,IF(Table11[[#This Row],[Location]]="Country Club Centre",Table11[[#This Row],[Column2]]*0.01,IF(Table11[[#This Row],[Location]]="Naval Air Station Norfolk",Table11[[#This Row],[Column2]]*0.005,F551*0.02))),2)</f>
        <v>27.02</v>
      </c>
      <c r="K55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51" s="11">
        <f t="shared" si="18"/>
        <v>67.540000000000006</v>
      </c>
      <c r="M551" s="10">
        <f t="shared" si="19"/>
        <v>94.56</v>
      </c>
    </row>
    <row r="552" spans="2:13" x14ac:dyDescent="0.25">
      <c r="B552" s="127">
        <v>46258</v>
      </c>
      <c r="C552" s="16">
        <v>285</v>
      </c>
      <c r="D552" s="16" t="s">
        <v>288</v>
      </c>
      <c r="E552" s="17">
        <v>2340.14</v>
      </c>
      <c r="F552" s="17">
        <v>2250.6699999999973</v>
      </c>
      <c r="G552" s="10" t="str">
        <f>VLOOKUP(Table11[[#This Row],[Store]],'Rates from Tracker'!A:B,2,0)</f>
        <v>Polaris Pointe</v>
      </c>
      <c r="H552" t="str">
        <f>VLOOKUP(D552,'Rates from Tracker'!A:C,3,0)</f>
        <v>Best Pizza LLC</v>
      </c>
      <c r="I552" t="str">
        <f>VLOOKUP(Table11[[#This Row],[Franchisee]],'Rates from Tracker'!C:D,2,0)</f>
        <v>Merullo</v>
      </c>
      <c r="J552" s="10">
        <f>ROUND(IF(Table11[[#This Row],[Location]]="Belmont Market",Table11[[#This Row],[Column2]]*0.01,IF(Table11[[#This Row],[Location]]="Country Club Centre",Table11[[#This Row],[Column2]]*0.01,IF(Table11[[#This Row],[Location]]="Naval Air Station Norfolk",Table11[[#This Row],[Column2]]*0.005,F552*0.02))),2)</f>
        <v>45.01</v>
      </c>
      <c r="K55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52" s="11">
        <f t="shared" si="18"/>
        <v>112.53</v>
      </c>
      <c r="M552" s="10">
        <f t="shared" si="19"/>
        <v>157.54</v>
      </c>
    </row>
    <row r="553" spans="2:13" x14ac:dyDescent="0.25">
      <c r="B553" s="127">
        <v>46258</v>
      </c>
      <c r="C553" s="16">
        <v>292</v>
      </c>
      <c r="D553" s="16" t="s">
        <v>296</v>
      </c>
      <c r="E553" s="17">
        <v>1703.12</v>
      </c>
      <c r="F553" s="17">
        <v>1602.2099999999941</v>
      </c>
      <c r="G553" s="10" t="str">
        <f>VLOOKUP(Table11[[#This Row],[Store]],'Rates from Tracker'!A:B,2,0)</f>
        <v>Greeley</v>
      </c>
      <c r="H553" t="str">
        <f>VLOOKUP(D553,'Rates from Tracker'!A:C,3,0)</f>
        <v>Best Pizza LLC</v>
      </c>
      <c r="I553" t="str">
        <f>VLOOKUP(Table11[[#This Row],[Franchisee]],'Rates from Tracker'!C:D,2,0)</f>
        <v>Merullo</v>
      </c>
      <c r="J553" s="10">
        <f>ROUND(IF(Table11[[#This Row],[Location]]="Belmont Market",Table11[[#This Row],[Column2]]*0.01,IF(Table11[[#This Row],[Location]]="Country Club Centre",Table11[[#This Row],[Column2]]*0.01,IF(Table11[[#This Row],[Location]]="Naval Air Station Norfolk",Table11[[#This Row],[Column2]]*0.005,F553*0.02))),2)</f>
        <v>32.04</v>
      </c>
      <c r="K55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53" s="11">
        <f t="shared" si="18"/>
        <v>80.11</v>
      </c>
      <c r="M553" s="10">
        <f t="shared" si="19"/>
        <v>112.15</v>
      </c>
    </row>
    <row r="554" spans="2:13" x14ac:dyDescent="0.25">
      <c r="B554" s="127">
        <v>46258</v>
      </c>
      <c r="C554" s="16">
        <v>293</v>
      </c>
      <c r="D554" s="16" t="s">
        <v>320</v>
      </c>
      <c r="E554" s="17">
        <v>1865.65</v>
      </c>
      <c r="F554" s="17">
        <v>1861.28</v>
      </c>
      <c r="G554" s="10" t="str">
        <f>VLOOKUP(Table11[[#This Row],[Store]],'Rates from Tracker'!A:B,2,0)</f>
        <v>West Sacramento</v>
      </c>
      <c r="H554" t="str">
        <f>VLOOKUP(D554,'Rates from Tracker'!A:C,3,0)</f>
        <v>Exceed Group West Sacramento</v>
      </c>
      <c r="I554" t="str">
        <f>VLOOKUP(Table11[[#This Row],[Franchisee]],'Rates from Tracker'!C:D,2,0)</f>
        <v>Chawla</v>
      </c>
      <c r="J554" s="10">
        <f>ROUND(IF(Table11[[#This Row],[Location]]="Belmont Market",Table11[[#This Row],[Column2]]*0.01,IF(Table11[[#This Row],[Location]]="Country Club Centre",Table11[[#This Row],[Column2]]*0.01,IF(Table11[[#This Row],[Location]]="Naval Air Station Norfolk",Table11[[#This Row],[Column2]]*0.005,F554*0.02))),2)</f>
        <v>37.229999999999997</v>
      </c>
      <c r="K55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54" s="11">
        <f t="shared" si="18"/>
        <v>93.06</v>
      </c>
      <c r="M554" s="10">
        <f t="shared" si="19"/>
        <v>130.29</v>
      </c>
    </row>
    <row r="555" spans="2:13" x14ac:dyDescent="0.25">
      <c r="B555" s="127">
        <v>46258</v>
      </c>
      <c r="C555" s="16">
        <v>296</v>
      </c>
      <c r="D555" s="16" t="s">
        <v>329</v>
      </c>
      <c r="E555" s="17">
        <v>1169.67</v>
      </c>
      <c r="F555" s="17">
        <v>1169.67</v>
      </c>
      <c r="G555" s="10" t="str">
        <f>VLOOKUP(Table11[[#This Row],[Store]],'Rates from Tracker'!A:B,2,0)</f>
        <v>Rancho Cordova</v>
      </c>
      <c r="H555" t="str">
        <f>VLOOKUP(D555,'Rates from Tracker'!A:C,3,0)</f>
        <v>Exceed Group Rancho Cordova</v>
      </c>
      <c r="I555" t="str">
        <f>VLOOKUP(Table11[[#This Row],[Franchisee]],'Rates from Tracker'!C:D,2,0)</f>
        <v>Chawla</v>
      </c>
      <c r="J555" s="10">
        <f>ROUND(IF(Table11[[#This Row],[Location]]="Belmont Market",Table11[[#This Row],[Column2]]*0.01,IF(Table11[[#This Row],[Location]]="Country Club Centre",Table11[[#This Row],[Column2]]*0.01,IF(Table11[[#This Row],[Location]]="Naval Air Station Norfolk",Table11[[#This Row],[Column2]]*0.005,F555*0.02))),2)</f>
        <v>23.39</v>
      </c>
      <c r="K55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55" s="11">
        <f t="shared" si="18"/>
        <v>58.48</v>
      </c>
      <c r="M555" s="10">
        <f t="shared" si="19"/>
        <v>81.87</v>
      </c>
    </row>
    <row r="556" spans="2:13" x14ac:dyDescent="0.25">
      <c r="B556" s="127">
        <v>46258</v>
      </c>
      <c r="C556" s="16">
        <v>324</v>
      </c>
      <c r="D556" s="16" t="s">
        <v>569</v>
      </c>
      <c r="E556" s="17">
        <v>1949.5</v>
      </c>
      <c r="F556" s="17">
        <v>1913.21</v>
      </c>
      <c r="G556" s="10" t="str">
        <f>VLOOKUP(Table11[[#This Row],[Store]],'Rates from Tracker'!A:B,2,0)</f>
        <v>American Fork</v>
      </c>
      <c r="H556" t="str">
        <f>VLOOKUP(D556,'Rates from Tracker'!A:C,3,0)</f>
        <v>SSR Holdings LLC</v>
      </c>
      <c r="I556" t="str">
        <f>VLOOKUP(Table11[[#This Row],[Franchisee]],'Rates from Tracker'!C:D,2,0)</f>
        <v>Bikram</v>
      </c>
      <c r="J556" s="10">
        <f>ROUND(IF(Table11[[#This Row],[Location]]="Belmont Market",Table11[[#This Row],[Column2]]*0.01,IF(Table11[[#This Row],[Location]]="Country Club Centre",Table11[[#This Row],[Column2]]*0.01,IF(Table11[[#This Row],[Location]]="Naval Air Station Norfolk",Table11[[#This Row],[Column2]]*0.005,F556*0.02))),2)</f>
        <v>38.26</v>
      </c>
      <c r="K55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56" s="11">
        <f t="shared" si="18"/>
        <v>19.13</v>
      </c>
      <c r="M556" s="10">
        <f t="shared" si="19"/>
        <v>57.39</v>
      </c>
    </row>
    <row r="557" spans="2:13" x14ac:dyDescent="0.25">
      <c r="B557" s="127">
        <v>46258</v>
      </c>
      <c r="C557" s="16">
        <v>325</v>
      </c>
      <c r="D557" s="16" t="s">
        <v>591</v>
      </c>
      <c r="E557" s="17">
        <v>1586.56</v>
      </c>
      <c r="F557" s="17">
        <v>1534.16</v>
      </c>
      <c r="G557" s="10" t="str">
        <f>VLOOKUP(Table11[[#This Row],[Store]],'Rates from Tracker'!A:B,2,0)</f>
        <v>Sugar House</v>
      </c>
      <c r="H557" t="str">
        <f>VLOOKUP(D557,'Rates from Tracker'!A:C,3,0)</f>
        <v>SSR Holdings LLC</v>
      </c>
      <c r="I557" t="str">
        <f>VLOOKUP(Table11[[#This Row],[Franchisee]],'Rates from Tracker'!C:D,2,0)</f>
        <v>Bikram</v>
      </c>
      <c r="J557" s="10">
        <f>ROUND(IF(Table11[[#This Row],[Location]]="Belmont Market",Table11[[#This Row],[Column2]]*0.01,IF(Table11[[#This Row],[Location]]="Country Club Centre",Table11[[#This Row],[Column2]]*0.01,IF(Table11[[#This Row],[Location]]="Naval Air Station Norfolk",Table11[[#This Row],[Column2]]*0.005,F557*0.02))),2)</f>
        <v>30.68</v>
      </c>
      <c r="K55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57" s="11">
        <f t="shared" si="18"/>
        <v>15.34</v>
      </c>
      <c r="M557" s="10">
        <f t="shared" si="19"/>
        <v>46.019999999999996</v>
      </c>
    </row>
    <row r="558" spans="2:13" x14ac:dyDescent="0.25">
      <c r="B558" s="127">
        <v>46258</v>
      </c>
      <c r="C558" s="16">
        <v>332</v>
      </c>
      <c r="D558" s="16" t="s">
        <v>583</v>
      </c>
      <c r="E558" s="17">
        <v>1422.03</v>
      </c>
      <c r="F558" s="17">
        <v>1394.51</v>
      </c>
      <c r="G558" s="10" t="str">
        <f>VLOOKUP(Table11[[#This Row],[Store]],'Rates from Tracker'!A:B,2,0)</f>
        <v>Riverton</v>
      </c>
      <c r="H558" t="str">
        <f>VLOOKUP(D558,'Rates from Tracker'!A:C,3,0)</f>
        <v>SSR Holdings LLC</v>
      </c>
      <c r="I558" t="str">
        <f>VLOOKUP(Table11[[#This Row],[Franchisee]],'Rates from Tracker'!C:D,2,0)</f>
        <v>Bikram</v>
      </c>
      <c r="J558" s="10">
        <f>ROUND(IF(Table11[[#This Row],[Location]]="Belmont Market",Table11[[#This Row],[Column2]]*0.01,IF(Table11[[#This Row],[Location]]="Country Club Centre",Table11[[#This Row],[Column2]]*0.01,IF(Table11[[#This Row],[Location]]="Naval Air Station Norfolk",Table11[[#This Row],[Column2]]*0.005,F558*0.02))),2)</f>
        <v>27.89</v>
      </c>
      <c r="K55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58" s="11">
        <f t="shared" si="18"/>
        <v>13.95</v>
      </c>
      <c r="M558" s="10">
        <f t="shared" si="19"/>
        <v>41.84</v>
      </c>
    </row>
    <row r="559" spans="2:13" x14ac:dyDescent="0.25">
      <c r="B559" s="127">
        <v>46258</v>
      </c>
      <c r="C559" s="16">
        <v>334</v>
      </c>
      <c r="D559" s="16" t="s">
        <v>577</v>
      </c>
      <c r="E559" s="17">
        <v>1877.78</v>
      </c>
      <c r="F559" s="17">
        <v>1817.25</v>
      </c>
      <c r="G559" s="10" t="str">
        <f>VLOOKUP(Table11[[#This Row],[Store]],'Rates from Tracker'!A:B,2,0)</f>
        <v>Layton</v>
      </c>
      <c r="H559" t="str">
        <f>VLOOKUP(D559,'Rates from Tracker'!A:C,3,0)</f>
        <v>SSR Holdings LLC</v>
      </c>
      <c r="I559" t="str">
        <f>VLOOKUP(Table11[[#This Row],[Franchisee]],'Rates from Tracker'!C:D,2,0)</f>
        <v>Bikram</v>
      </c>
      <c r="J559" s="10">
        <f>ROUND(IF(Table11[[#This Row],[Location]]="Belmont Market",Table11[[#This Row],[Column2]]*0.01,IF(Table11[[#This Row],[Location]]="Country Club Centre",Table11[[#This Row],[Column2]]*0.01,IF(Table11[[#This Row],[Location]]="Naval Air Station Norfolk",Table11[[#This Row],[Column2]]*0.005,F559*0.02))),2)</f>
        <v>36.35</v>
      </c>
      <c r="K55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59" s="11">
        <f t="shared" si="18"/>
        <v>18.170000000000002</v>
      </c>
      <c r="M559" s="10">
        <f t="shared" si="19"/>
        <v>54.52</v>
      </c>
    </row>
    <row r="560" spans="2:13" x14ac:dyDescent="0.25">
      <c r="B560" s="127">
        <v>46258</v>
      </c>
      <c r="C560" s="16">
        <v>338</v>
      </c>
      <c r="D560" s="16" t="s">
        <v>310</v>
      </c>
      <c r="E560" s="17">
        <v>2231.21</v>
      </c>
      <c r="F560" s="17">
        <v>2172.44</v>
      </c>
      <c r="G560" s="10" t="str">
        <f>VLOOKUP(Table11[[#This Row],[Store]],'Rates from Tracker'!A:B,2,0)</f>
        <v>Augusta Exchange</v>
      </c>
      <c r="H560" t="str">
        <f>VLOOKUP(D560,'Rates from Tracker'!A:C,3,0)</f>
        <v>Rolling Dough LLC</v>
      </c>
      <c r="I560" t="str">
        <f>VLOOKUP(Table11[[#This Row],[Franchisee]],'Rates from Tracker'!C:D,2,0)</f>
        <v>Connolly</v>
      </c>
      <c r="J560" s="10">
        <f>ROUND(IF(Table11[[#This Row],[Location]]="Belmont Market",Table11[[#This Row],[Column2]]*0.01,IF(Table11[[#This Row],[Location]]="Country Club Centre",Table11[[#This Row],[Column2]]*0.01,IF(Table11[[#This Row],[Location]]="Naval Air Station Norfolk",Table11[[#This Row],[Column2]]*0.005,F560*0.02))),2)</f>
        <v>43.45</v>
      </c>
      <c r="K56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60" s="11">
        <f t="shared" si="18"/>
        <v>108.62</v>
      </c>
      <c r="M560" s="10">
        <f t="shared" si="19"/>
        <v>152.07</v>
      </c>
    </row>
    <row r="561" spans="2:13" x14ac:dyDescent="0.25">
      <c r="B561" s="127">
        <v>46258</v>
      </c>
      <c r="C561" s="16">
        <v>348</v>
      </c>
      <c r="D561" s="16" t="s">
        <v>572</v>
      </c>
      <c r="E561" s="17">
        <v>3019.32</v>
      </c>
      <c r="F561" s="17">
        <v>2904.81</v>
      </c>
      <c r="G561" s="10" t="str">
        <f>VLOOKUP(Table11[[#This Row],[Store]],'Rates from Tracker'!A:B,2,0)</f>
        <v>Bend North</v>
      </c>
      <c r="H561" t="str">
        <f>VLOOKUP(D561,'Rates from Tracker'!A:C,3,0)</f>
        <v>SSR Holdings LLC</v>
      </c>
      <c r="I561" t="str">
        <f>VLOOKUP(Table11[[#This Row],[Franchisee]],'Rates from Tracker'!C:D,2,0)</f>
        <v>Bikram</v>
      </c>
      <c r="J561" s="10">
        <f>ROUND(IF(Table11[[#This Row],[Location]]="Belmont Market",Table11[[#This Row],[Column2]]*0.01,IF(Table11[[#This Row],[Location]]="Country Club Centre",Table11[[#This Row],[Column2]]*0.01,IF(Table11[[#This Row],[Location]]="Naval Air Station Norfolk",Table11[[#This Row],[Column2]]*0.005,F561*0.02))),2)</f>
        <v>58.1</v>
      </c>
      <c r="K56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61" s="11">
        <f t="shared" si="18"/>
        <v>29.05</v>
      </c>
      <c r="M561" s="10">
        <f t="shared" si="19"/>
        <v>87.15</v>
      </c>
    </row>
    <row r="562" spans="2:13" x14ac:dyDescent="0.25">
      <c r="B562" s="127">
        <v>46258</v>
      </c>
      <c r="C562" s="16">
        <v>349</v>
      </c>
      <c r="D562" s="16" t="s">
        <v>588</v>
      </c>
      <c r="E562" s="17">
        <v>2291.14</v>
      </c>
      <c r="F562" s="17">
        <v>2279.46</v>
      </c>
      <c r="G562" s="10" t="str">
        <f>VLOOKUP(Table11[[#This Row],[Store]],'Rates from Tracker'!A:B,2,0)</f>
        <v>South Medford</v>
      </c>
      <c r="H562" t="str">
        <f>VLOOKUP(D562,'Rates from Tracker'!A:C,3,0)</f>
        <v>SSR Holdings LLC</v>
      </c>
      <c r="I562" t="str">
        <f>VLOOKUP(Table11[[#This Row],[Franchisee]],'Rates from Tracker'!C:D,2,0)</f>
        <v>Bikram</v>
      </c>
      <c r="J562" s="10">
        <f>ROUND(IF(Table11[[#This Row],[Location]]="Belmont Market",Table11[[#This Row],[Column2]]*0.01,IF(Table11[[#This Row],[Location]]="Country Club Centre",Table11[[#This Row],[Column2]]*0.01,IF(Table11[[#This Row],[Location]]="Naval Air Station Norfolk",Table11[[#This Row],[Column2]]*0.005,F562*0.02))),2)</f>
        <v>45.59</v>
      </c>
      <c r="K56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62" s="11">
        <f t="shared" si="18"/>
        <v>22.79</v>
      </c>
      <c r="M562" s="10">
        <f t="shared" si="19"/>
        <v>68.38</v>
      </c>
    </row>
    <row r="563" spans="2:13" x14ac:dyDescent="0.25">
      <c r="B563" s="127">
        <v>46258</v>
      </c>
      <c r="C563" s="16">
        <v>352</v>
      </c>
      <c r="D563" s="16" t="s">
        <v>350</v>
      </c>
      <c r="E563" s="17">
        <v>1831.1</v>
      </c>
      <c r="F563" s="17">
        <v>1586.91</v>
      </c>
      <c r="G563" s="10" t="str">
        <f>VLOOKUP(Table11[[#This Row],[Store]],'Rates from Tracker'!A:B,2,0)</f>
        <v>Georgetown</v>
      </c>
      <c r="H563" t="str">
        <f>VLOOKUP(D563,'Rates from Tracker'!A:C,3,0)</f>
        <v>Cool Dough Development, LLC</v>
      </c>
      <c r="I563" t="str">
        <f>VLOOKUP(Table11[[#This Row],[Franchisee]],'Rates from Tracker'!C:D,2,0)</f>
        <v>Denning</v>
      </c>
      <c r="J563" s="10">
        <f>ROUND(IF(Table11[[#This Row],[Location]]="Belmont Market",Table11[[#This Row],[Column2]]*0.01,IF(Table11[[#This Row],[Location]]="Country Club Centre",Table11[[#This Row],[Column2]]*0.01,IF(Table11[[#This Row],[Location]]="Naval Air Station Norfolk",Table11[[#This Row],[Column2]]*0.005,F563*0.02))),2)</f>
        <v>31.74</v>
      </c>
      <c r="K56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63" s="11">
        <f t="shared" si="18"/>
        <v>79.349999999999994</v>
      </c>
      <c r="M563" s="10">
        <f t="shared" si="19"/>
        <v>111.08999999999999</v>
      </c>
    </row>
    <row r="564" spans="2:13" x14ac:dyDescent="0.25">
      <c r="B564" s="127">
        <v>46258</v>
      </c>
      <c r="C564" s="16">
        <v>366</v>
      </c>
      <c r="D564" s="16" t="s">
        <v>585</v>
      </c>
      <c r="E564" s="17">
        <v>2286.9899999999998</v>
      </c>
      <c r="F564" s="17">
        <v>2234.36</v>
      </c>
      <c r="G564" s="10" t="str">
        <f>VLOOKUP(Table11[[#This Row],[Store]],'Rates from Tracker'!A:B,2,0)</f>
        <v>Saratoga Springs</v>
      </c>
      <c r="H564" t="str">
        <f>VLOOKUP(D564,'Rates from Tracker'!A:C,3,0)</f>
        <v>SSR Holdings LLC</v>
      </c>
      <c r="I564" t="str">
        <f>VLOOKUP(Table11[[#This Row],[Franchisee]],'Rates from Tracker'!C:D,2,0)</f>
        <v>Bikram</v>
      </c>
      <c r="J564" s="10">
        <f>ROUND(IF(Table11[[#This Row],[Location]]="Belmont Market",Table11[[#This Row],[Column2]]*0.01,IF(Table11[[#This Row],[Location]]="Country Club Centre",Table11[[#This Row],[Column2]]*0.01,IF(Table11[[#This Row],[Location]]="Naval Air Station Norfolk",Table11[[#This Row],[Column2]]*0.005,F564*0.02))),2)</f>
        <v>44.69</v>
      </c>
      <c r="K56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64" s="11">
        <f t="shared" si="18"/>
        <v>22.34</v>
      </c>
      <c r="M564" s="10">
        <f t="shared" si="19"/>
        <v>67.03</v>
      </c>
    </row>
    <row r="565" spans="2:13" x14ac:dyDescent="0.25">
      <c r="B565" s="127">
        <v>46258</v>
      </c>
      <c r="C565" s="16">
        <v>384</v>
      </c>
      <c r="D565" s="16" t="s">
        <v>339</v>
      </c>
      <c r="E565" s="17">
        <v>2433.63</v>
      </c>
      <c r="F565" s="17">
        <v>2369.7000000000003</v>
      </c>
      <c r="G565" s="10" t="str">
        <f>VLOOKUP(Table11[[#This Row],[Store]],'Rates from Tracker'!A:B,2,0)</f>
        <v>Ralston Creek</v>
      </c>
      <c r="H565" t="str">
        <f>VLOOKUP(D565,'Rates from Tracker'!A:C,3,0)</f>
        <v>Best Pizza LLC</v>
      </c>
      <c r="I565" t="str">
        <f>VLOOKUP(Table11[[#This Row],[Franchisee]],'Rates from Tracker'!C:D,2,0)</f>
        <v>Merullo</v>
      </c>
      <c r="J565" s="10">
        <f>ROUND(IF(Table11[[#This Row],[Location]]="Belmont Market",Table11[[#This Row],[Column2]]*0.01,IF(Table11[[#This Row],[Location]]="Country Club Centre",Table11[[#This Row],[Column2]]*0.01,IF(Table11[[#This Row],[Location]]="Naval Air Station Norfolk",Table11[[#This Row],[Column2]]*0.005,F565*0.02))),2)</f>
        <v>47.39</v>
      </c>
      <c r="K56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65" s="11">
        <f t="shared" si="18"/>
        <v>118.49</v>
      </c>
      <c r="M565" s="10">
        <f t="shared" si="19"/>
        <v>165.88</v>
      </c>
    </row>
    <row r="566" spans="2:13" x14ac:dyDescent="0.25">
      <c r="B566" s="127">
        <v>46258</v>
      </c>
      <c r="C566" s="16">
        <v>413</v>
      </c>
      <c r="D566" s="16" t="s">
        <v>322</v>
      </c>
      <c r="E566" s="17">
        <v>882.84</v>
      </c>
      <c r="F566" s="17">
        <v>875.95</v>
      </c>
      <c r="G566" s="10" t="str">
        <f>VLOOKUP(Table11[[#This Row],[Store]],'Rates from Tracker'!A:B,2,0)</f>
        <v>Madison</v>
      </c>
      <c r="H566" t="str">
        <f>VLOOKUP(D566,'Rates from Tracker'!A:C,3,0)</f>
        <v>APizza Delight Inc</v>
      </c>
      <c r="I566" t="str">
        <f>VLOOKUP(Table11[[#This Row],[Franchisee]],'Rates from Tracker'!C:D,2,0)</f>
        <v>Patel</v>
      </c>
      <c r="J566" s="10">
        <f>ROUND(IF(Table11[[#This Row],[Location]]="Belmont Market",Table11[[#This Row],[Column2]]*0.01,IF(Table11[[#This Row],[Location]]="Country Club Centre",Table11[[#This Row],[Column2]]*0.01,IF(Table11[[#This Row],[Location]]="Naval Air Station Norfolk",Table11[[#This Row],[Column2]]*0.005,F566*0.02))),2)</f>
        <v>17.52</v>
      </c>
      <c r="K56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66" s="11">
        <f t="shared" si="18"/>
        <v>8.76</v>
      </c>
      <c r="M566" s="10">
        <f t="shared" si="19"/>
        <v>26.28</v>
      </c>
    </row>
    <row r="567" spans="2:13" x14ac:dyDescent="0.25">
      <c r="B567" s="127">
        <v>46258</v>
      </c>
      <c r="C567" s="16">
        <v>421</v>
      </c>
      <c r="D567" s="16" t="s">
        <v>575</v>
      </c>
      <c r="E567" s="17">
        <v>1913.08</v>
      </c>
      <c r="F567" s="17">
        <v>1890.26</v>
      </c>
      <c r="G567" s="10" t="str">
        <f>VLOOKUP(Table11[[#This Row],[Store]],'Rates from Tracker'!A:B,2,0)</f>
        <v>Fort Union</v>
      </c>
      <c r="H567" t="str">
        <f>VLOOKUP(D567,'Rates from Tracker'!A:C,3,0)</f>
        <v>SSR Holdings LLC</v>
      </c>
      <c r="I567" t="str">
        <f>VLOOKUP(Table11[[#This Row],[Franchisee]],'Rates from Tracker'!C:D,2,0)</f>
        <v>Bikram</v>
      </c>
      <c r="J567" s="10">
        <f>ROUND(IF(Table11[[#This Row],[Location]]="Belmont Market",Table11[[#This Row],[Column2]]*0.01,IF(Table11[[#This Row],[Location]]="Country Club Centre",Table11[[#This Row],[Column2]]*0.01,IF(Table11[[#This Row],[Location]]="Naval Air Station Norfolk",Table11[[#This Row],[Column2]]*0.005,F567*0.02))),2)</f>
        <v>37.81</v>
      </c>
      <c r="K56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67" s="11">
        <f t="shared" si="18"/>
        <v>18.899999999999999</v>
      </c>
      <c r="M567" s="10">
        <f t="shared" si="19"/>
        <v>56.71</v>
      </c>
    </row>
    <row r="568" spans="2:13" x14ac:dyDescent="0.25">
      <c r="B568" s="127">
        <v>46258</v>
      </c>
      <c r="C568" s="16">
        <v>425</v>
      </c>
      <c r="D568" s="16" t="s">
        <v>381</v>
      </c>
      <c r="E568" s="17">
        <v>2836.97</v>
      </c>
      <c r="F568" s="17">
        <v>2786.4</v>
      </c>
      <c r="G568" s="10" t="str">
        <f>VLOOKUP(Table11[[#This Row],[Store]],'Rates from Tracker'!A:B,2,0)</f>
        <v>Crown Point</v>
      </c>
      <c r="H568" t="str">
        <f>VLOOKUP(D568,'Rates from Tracker'!A:C,3,0)</f>
        <v>Best Pizza LLC</v>
      </c>
      <c r="I568" t="str">
        <f>VLOOKUP(Table11[[#This Row],[Franchisee]],'Rates from Tracker'!C:D,2,0)</f>
        <v>Merullo</v>
      </c>
      <c r="J568" s="10">
        <f>ROUND(IF(Table11[[#This Row],[Location]]="Belmont Market",Table11[[#This Row],[Column2]]*0.01,IF(Table11[[#This Row],[Location]]="Country Club Centre",Table11[[#This Row],[Column2]]*0.01,IF(Table11[[#This Row],[Location]]="Naval Air Station Norfolk",Table11[[#This Row],[Column2]]*0.005,F568*0.02))),2)</f>
        <v>55.73</v>
      </c>
      <c r="K56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68" s="11">
        <f t="shared" si="18"/>
        <v>139.32</v>
      </c>
      <c r="M568" s="10">
        <f t="shared" si="19"/>
        <v>195.04999999999998</v>
      </c>
    </row>
    <row r="569" spans="2:13" x14ac:dyDescent="0.25">
      <c r="B569" s="127">
        <v>46258</v>
      </c>
      <c r="C569" s="16">
        <v>429</v>
      </c>
      <c r="D569" s="16" t="s">
        <v>587</v>
      </c>
      <c r="E569" s="17">
        <v>1974.43</v>
      </c>
      <c r="F569" s="17">
        <v>1963.55</v>
      </c>
      <c r="G569" s="10" t="str">
        <f>VLOOKUP(Table11[[#This Row],[Store]],'Rates from Tracker'!A:B,2,0)</f>
        <v>South Jordan</v>
      </c>
      <c r="H569" t="str">
        <f>VLOOKUP(D569,'Rates from Tracker'!A:C,3,0)</f>
        <v>SSR Holdings LLC</v>
      </c>
      <c r="I569" t="str">
        <f>VLOOKUP(Table11[[#This Row],[Franchisee]],'Rates from Tracker'!C:D,2,0)</f>
        <v>Bikram</v>
      </c>
      <c r="J569" s="10">
        <f>ROUND(IF(Table11[[#This Row],[Location]]="Belmont Market",Table11[[#This Row],[Column2]]*0.01,IF(Table11[[#This Row],[Location]]="Country Club Centre",Table11[[#This Row],[Column2]]*0.01,IF(Table11[[#This Row],[Location]]="Naval Air Station Norfolk",Table11[[#This Row],[Column2]]*0.005,F569*0.02))),2)</f>
        <v>39.270000000000003</v>
      </c>
      <c r="K56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69" s="11">
        <f t="shared" si="18"/>
        <v>19.64</v>
      </c>
      <c r="M569" s="10">
        <f t="shared" si="19"/>
        <v>58.910000000000004</v>
      </c>
    </row>
    <row r="570" spans="2:13" x14ac:dyDescent="0.25">
      <c r="B570" s="127">
        <v>46258</v>
      </c>
      <c r="C570" s="16">
        <v>433</v>
      </c>
      <c r="D570" s="16" t="s">
        <v>576</v>
      </c>
      <c r="E570" s="17">
        <v>2462.08</v>
      </c>
      <c r="F570" s="17">
        <v>2433.87</v>
      </c>
      <c r="G570" s="10" t="str">
        <f>VLOOKUP(Table11[[#This Row],[Store]],'Rates from Tracker'!A:B,2,0)</f>
        <v>Grants Pass</v>
      </c>
      <c r="H570" t="str">
        <f>VLOOKUP(D570,'Rates from Tracker'!A:C,3,0)</f>
        <v>SSR Holdings LLC</v>
      </c>
      <c r="I570" t="str">
        <f>VLOOKUP(Table11[[#This Row],[Franchisee]],'Rates from Tracker'!C:D,2,0)</f>
        <v>Bikram</v>
      </c>
      <c r="J570" s="10">
        <f>ROUND(IF(Table11[[#This Row],[Location]]="Belmont Market",Table11[[#This Row],[Column2]]*0.01,IF(Table11[[#This Row],[Location]]="Country Club Centre",Table11[[#This Row],[Column2]]*0.01,IF(Table11[[#This Row],[Location]]="Naval Air Station Norfolk",Table11[[#This Row],[Column2]]*0.005,F570*0.02))),2)</f>
        <v>48.68</v>
      </c>
      <c r="K57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70" s="11">
        <f t="shared" si="18"/>
        <v>24.34</v>
      </c>
      <c r="M570" s="10">
        <f t="shared" si="19"/>
        <v>73.02</v>
      </c>
    </row>
    <row r="571" spans="2:13" x14ac:dyDescent="0.25">
      <c r="B571" s="127">
        <v>46258</v>
      </c>
      <c r="C571" s="16">
        <v>452</v>
      </c>
      <c r="D571" s="16" t="s">
        <v>346</v>
      </c>
      <c r="E571" s="17">
        <v>1051.6099999999999</v>
      </c>
      <c r="F571" s="17">
        <v>1038.42</v>
      </c>
      <c r="G571" s="10" t="str">
        <f>VLOOKUP(Table11[[#This Row],[Store]],'Rates from Tracker'!A:B,2,0)</f>
        <v>Mobile</v>
      </c>
      <c r="H571" t="str">
        <f>VLOOKUP(D571,'Rates from Tracker'!A:C,3,0)</f>
        <v>MAA MELDI 3980 Inc</v>
      </c>
      <c r="I571" t="str">
        <f>VLOOKUP(Table11[[#This Row],[Franchisee]],'Rates from Tracker'!C:D,2,0)</f>
        <v>Neal Patel</v>
      </c>
      <c r="J571" s="10">
        <f>ROUND(IF(Table11[[#This Row],[Location]]="Belmont Market",Table11[[#This Row],[Column2]]*0.01,IF(Table11[[#This Row],[Location]]="Country Club Centre",Table11[[#This Row],[Column2]]*0.01,IF(Table11[[#This Row],[Location]]="Naval Air Station Norfolk",Table11[[#This Row],[Column2]]*0.005,F571*0.02))),2)</f>
        <v>20.77</v>
      </c>
      <c r="K57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71" s="11">
        <f t="shared" si="18"/>
        <v>10.38</v>
      </c>
      <c r="M571" s="10">
        <f t="shared" si="19"/>
        <v>31.15</v>
      </c>
    </row>
    <row r="572" spans="2:13" x14ac:dyDescent="0.25">
      <c r="B572" s="127">
        <v>46258</v>
      </c>
      <c r="C572" s="16">
        <v>478</v>
      </c>
      <c r="D572" s="16" t="s">
        <v>581</v>
      </c>
      <c r="E572" s="17">
        <v>1288.2</v>
      </c>
      <c r="F572" s="17">
        <v>1191.99</v>
      </c>
      <c r="G572" s="10" t="str">
        <f>VLOOKUP(Table11[[#This Row],[Store]],'Rates from Tracker'!A:B,2,0)</f>
        <v>Pocatello</v>
      </c>
      <c r="H572" t="str">
        <f>VLOOKUP(D572,'Rates from Tracker'!A:C,3,0)</f>
        <v>SSR Holdings LLC</v>
      </c>
      <c r="I572" t="str">
        <f>VLOOKUP(Table11[[#This Row],[Franchisee]],'Rates from Tracker'!C:D,2,0)</f>
        <v>Bikram</v>
      </c>
      <c r="J572" s="10">
        <f>ROUND(IF(Table11[[#This Row],[Location]]="Belmont Market",Table11[[#This Row],[Column2]]*0.01,IF(Table11[[#This Row],[Location]]="Country Club Centre",Table11[[#This Row],[Column2]]*0.01,IF(Table11[[#This Row],[Location]]="Naval Air Station Norfolk",Table11[[#This Row],[Column2]]*0.005,F572*0.02))),2)</f>
        <v>23.84</v>
      </c>
      <c r="K57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72" s="11">
        <f t="shared" si="18"/>
        <v>11.92</v>
      </c>
      <c r="M572" s="10">
        <f t="shared" si="19"/>
        <v>35.76</v>
      </c>
    </row>
    <row r="573" spans="2:13" x14ac:dyDescent="0.25">
      <c r="B573" s="127">
        <v>46258</v>
      </c>
      <c r="C573" s="16">
        <v>514</v>
      </c>
      <c r="D573" s="16" t="s">
        <v>589</v>
      </c>
      <c r="E573" s="17">
        <v>1738.66</v>
      </c>
      <c r="F573" s="17">
        <v>1680.88</v>
      </c>
      <c r="G573" s="10" t="str">
        <f>VLOOKUP(Table11[[#This Row],[Store]],'Rates from Tracker'!A:B,2,0)</f>
        <v>Spanish Fork</v>
      </c>
      <c r="H573" t="str">
        <f>VLOOKUP(D573,'Rates from Tracker'!A:C,3,0)</f>
        <v>SSR Holdings LLC</v>
      </c>
      <c r="I573" t="str">
        <f>VLOOKUP(Table11[[#This Row],[Franchisee]],'Rates from Tracker'!C:D,2,0)</f>
        <v>Bikram</v>
      </c>
      <c r="J573" s="10">
        <f>ROUND(IF(Table11[[#This Row],[Location]]="Belmont Market",Table11[[#This Row],[Column2]]*0.01,IF(Table11[[#This Row],[Location]]="Country Club Centre",Table11[[#This Row],[Column2]]*0.01,IF(Table11[[#This Row],[Location]]="Naval Air Station Norfolk",Table11[[#This Row],[Column2]]*0.005,F573*0.02))),2)</f>
        <v>33.619999999999997</v>
      </c>
      <c r="K57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73" s="11">
        <f t="shared" si="18"/>
        <v>16.809999999999999</v>
      </c>
      <c r="M573" s="10">
        <f t="shared" si="19"/>
        <v>50.429999999999993</v>
      </c>
    </row>
    <row r="574" spans="2:13" x14ac:dyDescent="0.25">
      <c r="B574" s="127">
        <v>46258</v>
      </c>
      <c r="C574" s="16">
        <v>515</v>
      </c>
      <c r="D574" s="16" t="s">
        <v>574</v>
      </c>
      <c r="E574" s="17">
        <v>1591.32</v>
      </c>
      <c r="F574" s="17">
        <v>1591.31</v>
      </c>
      <c r="G574" s="10" t="str">
        <f>VLOOKUP(Table11[[#This Row],[Store]],'Rates from Tracker'!A:B,2,0)</f>
        <v>Downtown Boise</v>
      </c>
      <c r="H574" t="str">
        <f>VLOOKUP(D574,'Rates from Tracker'!A:C,3,0)</f>
        <v>SSR Holdings LLC</v>
      </c>
      <c r="I574" t="str">
        <f>VLOOKUP(Table11[[#This Row],[Franchisee]],'Rates from Tracker'!C:D,2,0)</f>
        <v>Bikram</v>
      </c>
      <c r="J574" s="10">
        <f>ROUND(IF(Table11[[#This Row],[Location]]="Belmont Market",Table11[[#This Row],[Column2]]*0.01,IF(Table11[[#This Row],[Location]]="Country Club Centre",Table11[[#This Row],[Column2]]*0.01,IF(Table11[[#This Row],[Location]]="Naval Air Station Norfolk",Table11[[#This Row],[Column2]]*0.005,F574*0.02))),2)</f>
        <v>31.83</v>
      </c>
      <c r="K57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74" s="11">
        <f t="shared" si="18"/>
        <v>15.91</v>
      </c>
      <c r="M574" s="10">
        <f t="shared" si="19"/>
        <v>47.739999999999995</v>
      </c>
    </row>
    <row r="575" spans="2:13" x14ac:dyDescent="0.25">
      <c r="B575" s="127">
        <v>46258</v>
      </c>
      <c r="C575" s="16">
        <v>521</v>
      </c>
      <c r="D575" s="16" t="s">
        <v>573</v>
      </c>
      <c r="E575" s="17">
        <v>1460.82</v>
      </c>
      <c r="F575" s="17">
        <v>1401.23</v>
      </c>
      <c r="G575" s="10" t="str">
        <f>VLOOKUP(Table11[[#This Row],[Store]],'Rates from Tracker'!A:B,2,0)</f>
        <v>Boise Town Square</v>
      </c>
      <c r="H575" t="str">
        <f>VLOOKUP(D575,'Rates from Tracker'!A:C,3,0)</f>
        <v>SSR Holdings LLC</v>
      </c>
      <c r="I575" t="str">
        <f>VLOOKUP(Table11[[#This Row],[Franchisee]],'Rates from Tracker'!C:D,2,0)</f>
        <v>Bikram</v>
      </c>
      <c r="J575" s="10">
        <f>ROUND(IF(Table11[[#This Row],[Location]]="Belmont Market",Table11[[#This Row],[Column2]]*0.01,IF(Table11[[#This Row],[Location]]="Country Club Centre",Table11[[#This Row],[Column2]]*0.01,IF(Table11[[#This Row],[Location]]="Naval Air Station Norfolk",Table11[[#This Row],[Column2]]*0.005,F575*0.02))),2)</f>
        <v>28.02</v>
      </c>
      <c r="K57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75" s="11">
        <f t="shared" si="18"/>
        <v>14.01</v>
      </c>
      <c r="M575" s="10">
        <f t="shared" si="19"/>
        <v>42.03</v>
      </c>
    </row>
    <row r="576" spans="2:13" x14ac:dyDescent="0.25">
      <c r="B576" s="127">
        <v>46258</v>
      </c>
      <c r="C576" s="16">
        <v>586</v>
      </c>
      <c r="D576" s="16" t="s">
        <v>453</v>
      </c>
      <c r="E576" s="17">
        <v>2638.6</v>
      </c>
      <c r="F576" s="17">
        <v>2530.6300000000047</v>
      </c>
      <c r="G576" s="10" t="str">
        <f>VLOOKUP(Table11[[#This Row],[Store]],'Rates from Tracker'!A:B,2,0)</f>
        <v>Johnstown</v>
      </c>
      <c r="H576" t="str">
        <f>VLOOKUP(D576,'Rates from Tracker'!A:C,3,0)</f>
        <v>Best Pizza LLC</v>
      </c>
      <c r="I576" t="str">
        <f>VLOOKUP(Table11[[#This Row],[Franchisee]],'Rates from Tracker'!C:D,2,0)</f>
        <v>Merullo</v>
      </c>
      <c r="J576" s="10">
        <f>ROUND(IF(Table11[[#This Row],[Location]]="Belmont Market",Table11[[#This Row],[Column2]]*0.01,IF(Table11[[#This Row],[Location]]="Country Club Centre",Table11[[#This Row],[Column2]]*0.01,IF(Table11[[#This Row],[Location]]="Naval Air Station Norfolk",Table11[[#This Row],[Column2]]*0.005,F576*0.02))),2)</f>
        <v>50.61</v>
      </c>
      <c r="K57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76" s="11">
        <f t="shared" si="18"/>
        <v>126.53</v>
      </c>
      <c r="M576" s="10">
        <f t="shared" si="19"/>
        <v>177.14</v>
      </c>
    </row>
    <row r="577" spans="2:13" x14ac:dyDescent="0.25">
      <c r="B577" s="127">
        <v>46258</v>
      </c>
      <c r="C577" s="16">
        <v>605</v>
      </c>
      <c r="D577" s="16" t="s">
        <v>501</v>
      </c>
      <c r="E577" s="17">
        <v>1929.1</v>
      </c>
      <c r="F577" s="17">
        <v>1856.41</v>
      </c>
      <c r="G577" s="10" t="str">
        <f>VLOOKUP(Table11[[#This Row],[Store]],'Rates from Tracker'!A:B,2,0)</f>
        <v>Campus Oaks</v>
      </c>
      <c r="H577" t="str">
        <f>VLOOKUP(D577,'Rates from Tracker'!A:C,3,0)</f>
        <v>Exceed Group Campus Oaks</v>
      </c>
      <c r="I577" t="str">
        <f>VLOOKUP(Table11[[#This Row],[Franchisee]],'Rates from Tracker'!C:D,2,0)</f>
        <v>Chawla</v>
      </c>
      <c r="J577" s="10">
        <f>ROUND(IF(Table11[[#This Row],[Location]]="Belmont Market",Table11[[#This Row],[Column2]]*0.01,IF(Table11[[#This Row],[Location]]="Country Club Centre",Table11[[#This Row],[Column2]]*0.01,IF(Table11[[#This Row],[Location]]="Naval Air Station Norfolk",Table11[[#This Row],[Column2]]*0.005,F577*0.02))),2)</f>
        <v>37.130000000000003</v>
      </c>
      <c r="K57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77" s="11">
        <f t="shared" si="18"/>
        <v>92.82</v>
      </c>
      <c r="M577" s="10">
        <f t="shared" si="19"/>
        <v>129.94999999999999</v>
      </c>
    </row>
    <row r="578" spans="2:13" x14ac:dyDescent="0.25">
      <c r="B578" s="127">
        <v>46258</v>
      </c>
      <c r="C578" s="16">
        <v>607</v>
      </c>
      <c r="D578" s="16" t="s">
        <v>481</v>
      </c>
      <c r="E578" s="17">
        <v>3076.57</v>
      </c>
      <c r="F578" s="17">
        <v>3041.1</v>
      </c>
      <c r="G578" s="10" t="str">
        <f>VLOOKUP(Table11[[#This Row],[Store]],'Rates from Tracker'!A:B,2,0)</f>
        <v>Tower</v>
      </c>
      <c r="H578" t="str">
        <f>VLOOKUP(D578,'Rates from Tracker'!A:C,3,0)</f>
        <v>Best Pizza LLC</v>
      </c>
      <c r="I578" t="str">
        <f>VLOOKUP(Table11[[#This Row],[Franchisee]],'Rates from Tracker'!C:D,2,0)</f>
        <v>Merullo</v>
      </c>
      <c r="J578" s="10">
        <f>ROUND(IF(Table11[[#This Row],[Location]]="Belmont Market",Table11[[#This Row],[Column2]]*0.01,IF(Table11[[#This Row],[Location]]="Country Club Centre",Table11[[#This Row],[Column2]]*0.01,IF(Table11[[#This Row],[Location]]="Naval Air Station Norfolk",Table11[[#This Row],[Column2]]*0.005,F578*0.02))),2)</f>
        <v>60.82</v>
      </c>
      <c r="K57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78" s="11">
        <f t="shared" si="18"/>
        <v>152.06</v>
      </c>
      <c r="M578" s="10">
        <f t="shared" si="19"/>
        <v>212.88</v>
      </c>
    </row>
    <row r="579" spans="2:13" x14ac:dyDescent="0.25">
      <c r="B579" s="127">
        <v>46258</v>
      </c>
      <c r="C579" s="16">
        <v>608</v>
      </c>
      <c r="D579" s="16" t="s">
        <v>488</v>
      </c>
      <c r="E579" s="17">
        <v>2334.3000000000002</v>
      </c>
      <c r="F579" s="17">
        <v>2295.33</v>
      </c>
      <c r="G579" s="10" t="str">
        <f>VLOOKUP(Table11[[#This Row],[Store]],'Rates from Tracker'!A:B,2,0)</f>
        <v>Sheridan Parkway</v>
      </c>
      <c r="H579" t="str">
        <f>VLOOKUP(D579,'Rates from Tracker'!A:C,3,0)</f>
        <v>Best Pizza LLC</v>
      </c>
      <c r="I579" t="str">
        <f>VLOOKUP(Table11[[#This Row],[Franchisee]],'Rates from Tracker'!C:D,2,0)</f>
        <v>Merullo</v>
      </c>
      <c r="J579" s="10">
        <f>ROUND(IF(Table11[[#This Row],[Location]]="Belmont Market",Table11[[#This Row],[Column2]]*0.01,IF(Table11[[#This Row],[Location]]="Country Club Centre",Table11[[#This Row],[Column2]]*0.01,IF(Table11[[#This Row],[Location]]="Naval Air Station Norfolk",Table11[[#This Row],[Column2]]*0.005,F579*0.02))),2)</f>
        <v>45.91</v>
      </c>
      <c r="K57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79" s="11">
        <f t="shared" si="18"/>
        <v>114.77</v>
      </c>
      <c r="M579" s="10">
        <f t="shared" si="19"/>
        <v>160.68</v>
      </c>
    </row>
    <row r="580" spans="2:13" x14ac:dyDescent="0.25">
      <c r="B580" s="127">
        <v>46258</v>
      </c>
      <c r="C580" s="16">
        <v>616</v>
      </c>
      <c r="D580" s="16" t="s">
        <v>480</v>
      </c>
      <c r="E580" s="17">
        <v>2146.25</v>
      </c>
      <c r="F580" s="17">
        <v>2084.91</v>
      </c>
      <c r="G580" s="10" t="str">
        <f>VLOOKUP(Table11[[#This Row],[Store]],'Rates from Tracker'!A:B,2,0)</f>
        <v>Eureka</v>
      </c>
      <c r="H580" t="str">
        <f>VLOOKUP(D580,'Rates from Tracker'!A:C,3,0)</f>
        <v>Exceed Group Eureka</v>
      </c>
      <c r="I580" t="str">
        <f>VLOOKUP(Table11[[#This Row],[Franchisee]],'Rates from Tracker'!C:D,2,0)</f>
        <v>Chawla</v>
      </c>
      <c r="J580" s="10">
        <f>ROUND(IF(Table11[[#This Row],[Location]]="Belmont Market",Table11[[#This Row],[Column2]]*0.01,IF(Table11[[#This Row],[Location]]="Country Club Centre",Table11[[#This Row],[Column2]]*0.01,IF(Table11[[#This Row],[Location]]="Naval Air Station Norfolk",Table11[[#This Row],[Column2]]*0.005,F580*0.02))),2)</f>
        <v>41.7</v>
      </c>
      <c r="K58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80" s="11">
        <f t="shared" si="18"/>
        <v>104.25</v>
      </c>
      <c r="M580" s="10">
        <f t="shared" si="19"/>
        <v>145.94999999999999</v>
      </c>
    </row>
    <row r="581" spans="2:13" x14ac:dyDescent="0.25">
      <c r="B581" s="127">
        <v>46258</v>
      </c>
      <c r="C581" s="16">
        <v>617</v>
      </c>
      <c r="D581" s="16" t="s">
        <v>494</v>
      </c>
      <c r="E581" s="17">
        <v>1683.4</v>
      </c>
      <c r="F581" s="17">
        <v>1607.12</v>
      </c>
      <c r="G581" s="10" t="str">
        <f>VLOOKUP(Table11[[#This Row],[Store]],'Rates from Tracker'!A:B,2,0)</f>
        <v>Lowry</v>
      </c>
      <c r="H581" t="str">
        <f>VLOOKUP(D581,'Rates from Tracker'!A:C,3,0)</f>
        <v>Best Pizza LLC</v>
      </c>
      <c r="I581" t="str">
        <f>VLOOKUP(Table11[[#This Row],[Franchisee]],'Rates from Tracker'!C:D,2,0)</f>
        <v>Merullo</v>
      </c>
      <c r="J581" s="10">
        <f>ROUND(IF(Table11[[#This Row],[Location]]="Belmont Market",Table11[[#This Row],[Column2]]*0.01,IF(Table11[[#This Row],[Location]]="Country Club Centre",Table11[[#This Row],[Column2]]*0.01,IF(Table11[[#This Row],[Location]]="Naval Air Station Norfolk",Table11[[#This Row],[Column2]]*0.005,F581*0.02))),2)</f>
        <v>32.14</v>
      </c>
      <c r="K581"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81" s="11">
        <f t="shared" ref="L581:L590" si="20">ROUND(F581*K581,2)</f>
        <v>80.36</v>
      </c>
      <c r="M581" s="10">
        <f t="shared" ref="M581:M590" si="21">J581+L581</f>
        <v>112.5</v>
      </c>
    </row>
    <row r="582" spans="2:13" x14ac:dyDescent="0.25">
      <c r="B582" s="127">
        <v>46258</v>
      </c>
      <c r="C582" s="16">
        <v>648</v>
      </c>
      <c r="D582" s="16" t="s">
        <v>454</v>
      </c>
      <c r="E582" s="17">
        <v>1889.1</v>
      </c>
      <c r="F582" s="17">
        <v>1866.11</v>
      </c>
      <c r="G582" s="10" t="str">
        <f>VLOOKUP(Table11[[#This Row],[Store]],'Rates from Tracker'!A:B,2,0)</f>
        <v>Belmont Market</v>
      </c>
      <c r="H582" t="str">
        <f>VLOOKUP(D582,'Rates from Tracker'!A:C,3,0)</f>
        <v>V.I. Pizza Belmont</v>
      </c>
      <c r="I582" t="str">
        <f>VLOOKUP(Table11[[#This Row],[Franchisee]],'Rates from Tracker'!C:D,2,0)</f>
        <v>Hayden</v>
      </c>
      <c r="J582" s="10">
        <f>ROUND(IF(Table11[[#This Row],[Location]]="Belmont Market",Table11[[#This Row],[Column2]]*0.01,IF(Table11[[#This Row],[Location]]="Country Club Centre",Table11[[#This Row],[Column2]]*0.01,IF(Table11[[#This Row],[Location]]="Naval Air Station Norfolk",Table11[[#This Row],[Column2]]*0.005,F582*0.02))),2)</f>
        <v>18.66</v>
      </c>
      <c r="K582"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582" s="11">
        <f t="shared" si="20"/>
        <v>37.32</v>
      </c>
      <c r="M582" s="10">
        <f t="shared" si="21"/>
        <v>55.980000000000004</v>
      </c>
    </row>
    <row r="583" spans="2:13" x14ac:dyDescent="0.25">
      <c r="B583" s="127">
        <v>46258</v>
      </c>
      <c r="C583" s="16">
        <v>659</v>
      </c>
      <c r="D583" s="16" t="s">
        <v>570</v>
      </c>
      <c r="E583" s="17">
        <v>1391.36</v>
      </c>
      <c r="F583" s="17">
        <v>1342.64</v>
      </c>
      <c r="G583" s="10" t="str">
        <f>VLOOKUP(Table11[[#This Row],[Store]],'Rates from Tracker'!A:B,2,0)</f>
        <v>Ammon</v>
      </c>
      <c r="H583" t="str">
        <f>VLOOKUP(D583,'Rates from Tracker'!A:C,3,0)</f>
        <v>SSR Holdings LLC</v>
      </c>
      <c r="I583" t="str">
        <f>VLOOKUP(Table11[[#This Row],[Franchisee]],'Rates from Tracker'!C:D,2,0)</f>
        <v>Bikram</v>
      </c>
      <c r="J583" s="10">
        <f>ROUND(IF(Table11[[#This Row],[Location]]="Belmont Market",Table11[[#This Row],[Column2]]*0.01,IF(Table11[[#This Row],[Location]]="Country Club Centre",Table11[[#This Row],[Column2]]*0.01,IF(Table11[[#This Row],[Location]]="Naval Air Station Norfolk",Table11[[#This Row],[Column2]]*0.005,F583*0.02))),2)</f>
        <v>26.85</v>
      </c>
      <c r="K583"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83" s="11">
        <f t="shared" si="20"/>
        <v>13.43</v>
      </c>
      <c r="M583" s="10">
        <f t="shared" si="21"/>
        <v>40.28</v>
      </c>
    </row>
    <row r="584" spans="2:13" x14ac:dyDescent="0.25">
      <c r="B584" s="127">
        <v>46258</v>
      </c>
      <c r="C584" s="16">
        <v>699</v>
      </c>
      <c r="D584" s="16" t="s">
        <v>521</v>
      </c>
      <c r="E584" s="17">
        <v>1904.46</v>
      </c>
      <c r="F584" s="17">
        <v>1831.55</v>
      </c>
      <c r="G584" s="10" t="str">
        <f>VLOOKUP(Table11[[#This Row],[Store]],'Rates from Tracker'!A:B,2,0)</f>
        <v>Grand Junction</v>
      </c>
      <c r="H584" t="str">
        <f>VLOOKUP(D584,'Rates from Tracker'!A:C,3,0)</f>
        <v>Best Pizza LLC</v>
      </c>
      <c r="I584" t="str">
        <f>VLOOKUP(Table11[[#This Row],[Franchisee]],'Rates from Tracker'!C:D,2,0)</f>
        <v>Merullo</v>
      </c>
      <c r="J584" s="10">
        <f>ROUND(IF(Table11[[#This Row],[Location]]="Belmont Market",Table11[[#This Row],[Column2]]*0.01,IF(Table11[[#This Row],[Location]]="Country Club Centre",Table11[[#This Row],[Column2]]*0.01,IF(Table11[[#This Row],[Location]]="Naval Air Station Norfolk",Table11[[#This Row],[Column2]]*0.005,F584*0.02))),2)</f>
        <v>36.630000000000003</v>
      </c>
      <c r="K584"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84" s="11">
        <f t="shared" si="20"/>
        <v>91.58</v>
      </c>
      <c r="M584" s="10">
        <f t="shared" si="21"/>
        <v>128.21</v>
      </c>
    </row>
    <row r="585" spans="2:13" x14ac:dyDescent="0.25">
      <c r="B585" s="127">
        <v>46258</v>
      </c>
      <c r="C585" s="16">
        <v>711</v>
      </c>
      <c r="D585" s="16" t="s">
        <v>526</v>
      </c>
      <c r="E585" s="17">
        <v>1346.07</v>
      </c>
      <c r="F585" s="17">
        <v>1249.72</v>
      </c>
      <c r="G585" s="10" t="str">
        <f>VLOOKUP(Table11[[#This Row],[Store]],'Rates from Tracker'!A:B,2,0)</f>
        <v>Country Club Centre</v>
      </c>
      <c r="H585" t="str">
        <f>VLOOKUP(D585,'Rates from Tracker'!A:C,3,0)</f>
        <v>V.I. Pizza Country Club</v>
      </c>
      <c r="I585" t="str">
        <f>VLOOKUP(Table11[[#This Row],[Franchisee]],'Rates from Tracker'!C:D,2,0)</f>
        <v>Hayden</v>
      </c>
      <c r="J585" s="10">
        <f>ROUND(IF(Table11[[#This Row],[Location]]="Belmont Market",Table11[[#This Row],[Column2]]*0.01,IF(Table11[[#This Row],[Location]]="Country Club Centre",Table11[[#This Row],[Column2]]*0.01,IF(Table11[[#This Row],[Location]]="Naval Air Station Norfolk",Table11[[#This Row],[Column2]]*0.005,F585*0.02))),2)</f>
        <v>12.5</v>
      </c>
      <c r="K585"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85" s="11">
        <f t="shared" si="20"/>
        <v>12.5</v>
      </c>
      <c r="M585" s="10">
        <f t="shared" si="21"/>
        <v>25</v>
      </c>
    </row>
    <row r="586" spans="2:13" x14ac:dyDescent="0.25">
      <c r="B586" s="127">
        <v>46258</v>
      </c>
      <c r="C586" s="16">
        <v>722</v>
      </c>
      <c r="D586" s="16" t="s">
        <v>535</v>
      </c>
      <c r="E586" s="17">
        <v>1599.9</v>
      </c>
      <c r="F586" s="17">
        <v>1523.43</v>
      </c>
      <c r="G586" s="10" t="str">
        <f>VLOOKUP(Table11[[#This Row],[Store]],'Rates from Tracker'!A:B,2,0)</f>
        <v>Creekwalk</v>
      </c>
      <c r="H586" t="str">
        <f>VLOOKUP(D586,'Rates from Tracker'!A:C,3,0)</f>
        <v>Best Pizza LLC</v>
      </c>
      <c r="I586" t="str">
        <f>VLOOKUP(Table11[[#This Row],[Franchisee]],'Rates from Tracker'!C:D,2,0)</f>
        <v>Merullo</v>
      </c>
      <c r="J586" s="10">
        <f>ROUND(IF(Table11[[#This Row],[Location]]="Belmont Market",Table11[[#This Row],[Column2]]*0.01,IF(Table11[[#This Row],[Location]]="Country Club Centre",Table11[[#This Row],[Column2]]*0.01,IF(Table11[[#This Row],[Location]]="Naval Air Station Norfolk",Table11[[#This Row],[Column2]]*0.005,F586*0.02))),2)</f>
        <v>30.47</v>
      </c>
      <c r="K586"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586" s="11">
        <f t="shared" si="20"/>
        <v>30.47</v>
      </c>
      <c r="M586" s="10">
        <f t="shared" si="21"/>
        <v>60.94</v>
      </c>
    </row>
    <row r="587" spans="2:13" x14ac:dyDescent="0.25">
      <c r="B587" s="127">
        <v>46258</v>
      </c>
      <c r="C587" s="16">
        <v>731</v>
      </c>
      <c r="D587" s="16" t="s">
        <v>542</v>
      </c>
      <c r="E587" s="17">
        <v>1238.6500000000001</v>
      </c>
      <c r="F587" s="17">
        <v>1227.8800000000001</v>
      </c>
      <c r="G587" s="10" t="str">
        <f>VLOOKUP(Table11[[#This Row],[Store]],'Rates from Tracker'!A:B,2,0)</f>
        <v>Naval Air Station Norfolk</v>
      </c>
      <c r="H587" t="str">
        <f>VLOOKUP(D587,'Rates from Tracker'!A:C,3,0)</f>
        <v>IDAD-5 Inc</v>
      </c>
      <c r="I587" t="str">
        <f>VLOOKUP(Table11[[#This Row],[Franchisee]],'Rates from Tracker'!C:D,2,0)</f>
        <v>Ingenito</v>
      </c>
      <c r="J587" s="10">
        <f>ROUND(IF(Table11[[#This Row],[Location]]="Belmont Market",Table11[[#This Row],[Column2]]*0.01,IF(Table11[[#This Row],[Location]]="Country Club Centre",Table11[[#This Row],[Column2]]*0.01,IF(Table11[[#This Row],[Location]]="Naval Air Station Norfolk",Table11[[#This Row],[Column2]]*0.005,F587*0.02))),2)</f>
        <v>6.14</v>
      </c>
      <c r="K587"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0.02</v>
      </c>
      <c r="L587" s="11">
        <f t="shared" si="20"/>
        <v>24.56</v>
      </c>
      <c r="M587" s="10">
        <f t="shared" si="21"/>
        <v>30.7</v>
      </c>
    </row>
    <row r="588" spans="2:13" x14ac:dyDescent="0.25">
      <c r="B588" s="127">
        <v>46258</v>
      </c>
      <c r="C588" s="16">
        <v>761</v>
      </c>
      <c r="D588" s="16" t="s">
        <v>584</v>
      </c>
      <c r="E588" s="17">
        <v>1987.01</v>
      </c>
      <c r="F588" s="17">
        <v>1958.58</v>
      </c>
      <c r="G588" s="10" t="str">
        <f>VLOOKUP(Table11[[#This Row],[Store]],'Rates from Tracker'!A:B,2,0)</f>
        <v>Roseburg</v>
      </c>
      <c r="H588" t="str">
        <f>VLOOKUP(D588,'Rates from Tracker'!A:C,3,0)</f>
        <v>SSR Holdings LLC</v>
      </c>
      <c r="I588" t="str">
        <f>VLOOKUP(Table11[[#This Row],[Franchisee]],'Rates from Tracker'!C:D,2,0)</f>
        <v>Bikram</v>
      </c>
      <c r="J588" s="10">
        <f>ROUND(IF(Table11[[#This Row],[Location]]="Belmont Market",Table11[[#This Row],[Column2]]*0.01,IF(Table11[[#This Row],[Location]]="Country Club Centre",Table11[[#This Row],[Column2]]*0.01,IF(Table11[[#This Row],[Location]]="Naval Air Station Norfolk",Table11[[#This Row],[Column2]]*0.005,F588*0.02))),2)</f>
        <v>39.17</v>
      </c>
      <c r="K588"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88" s="11">
        <f t="shared" si="20"/>
        <v>19.59</v>
      </c>
      <c r="M588" s="10">
        <f t="shared" si="21"/>
        <v>58.760000000000005</v>
      </c>
    </row>
    <row r="589" spans="2:13" x14ac:dyDescent="0.25">
      <c r="B589" s="127">
        <v>46258</v>
      </c>
      <c r="C589" s="16">
        <v>777</v>
      </c>
      <c r="D589" s="16" t="s">
        <v>590</v>
      </c>
      <c r="E589" s="17">
        <v>1194.3399999999999</v>
      </c>
      <c r="F589" s="17">
        <v>1118.5</v>
      </c>
      <c r="G589" s="10" t="str">
        <f>VLOOKUP(Table11[[#This Row],[Store]],'Rates from Tracker'!A:B,2,0)</f>
        <v>Springfield-Oregon</v>
      </c>
      <c r="H589" t="str">
        <f>VLOOKUP(D589,'Rates from Tracker'!A:C,3,0)</f>
        <v>SSR Holdings LLC</v>
      </c>
      <c r="I589" t="str">
        <f>VLOOKUP(Table11[[#This Row],[Franchisee]],'Rates from Tracker'!C:D,2,0)</f>
        <v>Bikram</v>
      </c>
      <c r="J589" s="10">
        <f>ROUND(IF(Table11[[#This Row],[Location]]="Belmont Market",Table11[[#This Row],[Column2]]*0.01,IF(Table11[[#This Row],[Location]]="Country Club Centre",Table11[[#This Row],[Column2]]*0.01,IF(Table11[[#This Row],[Location]]="Naval Air Station Norfolk",Table11[[#This Row],[Column2]]*0.005,F589*0.02))),2)</f>
        <v>22.37</v>
      </c>
      <c r="K589"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0.01</v>
      </c>
      <c r="L589" s="11">
        <f t="shared" si="20"/>
        <v>11.19</v>
      </c>
      <c r="M589" s="10">
        <f t="shared" si="21"/>
        <v>33.56</v>
      </c>
    </row>
    <row r="590" spans="2:13" x14ac:dyDescent="0.25">
      <c r="B590" s="127">
        <v>46258</v>
      </c>
      <c r="C590" s="16">
        <v>820</v>
      </c>
      <c r="D590" s="16" t="s">
        <v>538</v>
      </c>
      <c r="E590" s="17">
        <v>2408.62</v>
      </c>
      <c r="F590" s="17">
        <v>2369.61</v>
      </c>
      <c r="G590" s="10" t="str">
        <f>VLOOKUP(Table11[[#This Row],[Store]],'Rates from Tracker'!A:B,2,0)</f>
        <v>Churn Creek</v>
      </c>
      <c r="H590" t="str">
        <f>VLOOKUP(D590,'Rates from Tracker'!A:C,3,0)</f>
        <v>Exceed Group Churn Creek</v>
      </c>
      <c r="I590" t="str">
        <f>VLOOKUP(Table11[[#This Row],[Franchisee]],'Rates from Tracker'!C:D,2,0)</f>
        <v>Chawla</v>
      </c>
      <c r="J590" s="10">
        <f>ROUND(IF(Table11[[#This Row],[Location]]="Belmont Market",Table11[[#This Row],[Column2]]*0.01,IF(Table11[[#This Row],[Location]]="Country Club Centre",Table11[[#This Row],[Column2]]*0.01,IF(Table11[[#This Row],[Location]]="Naval Air Station Norfolk",Table11[[#This Row],[Column2]]*0.005,F590*0.02))),2)</f>
        <v>47.39</v>
      </c>
      <c r="K590" s="12">
        <f>IF(Table11[[#This Row],[Location]]="Creekwalk",0.02,IF(Table11[[#This Row],[Location]]="Country Club Centre",0.01,IF(Table11[[#This Row],[Location]]="Lenexa",0.02,IF(Table11[[#This Row],[Location]]="Belmont Market",0.02,IF(Table11[[#This Row],[Location]]="Naval Air Station Norfolk",0.02,IF(Table11[[#This Row],[Location]]="Madison",0.01,IF(Table11[[#This Row],[Location]]="Mobile",0.01,IF(Table11[[#This Row],[Location]]="Decatur",0.01,IF(Table11[[#This Row],[Location]]="Woods Cross",0.01,IF(Table11[[#This Row],[Location]]="Park City",0.01,IF(Table11[[#This Row],[Location]]="Riverdale",0.01,IF(Table11[[#This Row],[Location]]="Riverton",0.01,IF(Table11[[#This Row],[Location]]="Layton",0.01,IF(Table11[[#This Row],[Location]]="Bend",0.01,IF(Table11[[#This Row],[Location]]="Bend",0.01,IF(Table11[[#This Row],[Location]]="Oakway",0.01,IF(Table11[[#This Row],[Location]]="North Medford",0.01,IF(Table11[[#This Row],[Location]]="South Eugene",0.01,IF(Table11[[#This Row],[Location]]="American Fork",0.01,IF(Table11[[#This Row],[Location]]="Sugar House",0.01,IF(Table11[[#This Row],[Location]]="Bend North",0.01,IF(Table11[[#This Row],[Location]]="South Medford",0.01,IF(Table11[[#This Row],[Location]]="Saratoga Springs",0.01,IF(Table11[[#This Row],[Location]]="Fort Union",0.01,IF(Table11[[#This Row],[Location]]="South Jordan",0.01,IF(Table11[[#This Row],[Location]]="Grants Pass",0.01,IF(Table11[[#This Row],[Location]]="Pocatello",0.01,IF(Table11[[#This Row],[Location]]="Spanish Fork",0.01,IF(Table11[[#This Row],[Location]]="Downtown Boise",0.01,IF(Table11[[#This Row],[Location]]="Boise Town Square",0.01,IF(Table11[[#This Row],[Location]]="Ammon",0.01,IF(Table11[[#This Row],[Location]]="Roseburg",0.01,IF(Table11[[#This Row],[Location]]="Springfield-Oregon",0.01,0.05)))))))))))))))))))))))))))))))))</f>
        <v>0.05</v>
      </c>
      <c r="L590" s="11">
        <f t="shared" si="20"/>
        <v>118.48</v>
      </c>
      <c r="M590" s="10">
        <f t="shared" si="21"/>
        <v>165.87</v>
      </c>
    </row>
  </sheetData>
  <mergeCells count="2">
    <mergeCell ref="B3:F3"/>
    <mergeCell ref="G3:M3"/>
  </mergeCells>
  <conditionalFormatting sqref="C1">
    <cfRule type="containsText" dxfId="10" priority="15" operator="containsText" text="Check">
      <formula>NOT(ISERROR(SEARCH("Check",C1)))</formula>
    </cfRule>
    <cfRule type="containsText" dxfId="9" priority="16" operator="containsText" text="Good">
      <formula>NOT(ISERROR(SEARCH("Good",C1)))</formula>
    </cfRule>
  </conditionalFormatting>
  <conditionalFormatting sqref="E1:F1">
    <cfRule type="cellIs" dxfId="8" priority="11" operator="greaterThan">
      <formula>0</formula>
    </cfRule>
    <cfRule type="cellIs" dxfId="7" priority="12" operator="lessThan">
      <formula>0</formula>
    </cfRule>
    <cfRule type="cellIs" dxfId="6" priority="14" operator="equal">
      <formula>0</formula>
    </cfRule>
  </conditionalFormatting>
  <conditionalFormatting sqref="M1">
    <cfRule type="cellIs" dxfId="5" priority="7" operator="greaterThan">
      <formula>0</formula>
    </cfRule>
    <cfRule type="cellIs" dxfId="4" priority="8" operator="lessThan">
      <formula>0</formula>
    </cfRule>
    <cfRule type="cellIs" dxfId="3" priority="10" operator="equal">
      <formula>0</formula>
    </cfRule>
  </conditionalFormatting>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4" tint="-0.249977111117893"/>
    <pageSetUpPr fitToPage="1"/>
  </sheetPr>
  <dimension ref="A1:Q39"/>
  <sheetViews>
    <sheetView topLeftCell="A4" zoomScaleNormal="100" workbookViewId="0">
      <selection activeCell="L28" sqref="L28"/>
    </sheetView>
  </sheetViews>
  <sheetFormatPr defaultColWidth="9.140625" defaultRowHeight="15" outlineLevelCol="1" x14ac:dyDescent="0.25"/>
  <cols>
    <col min="1" max="1" width="39.5703125" style="23" bestFit="1" customWidth="1"/>
    <col min="2" max="2" width="16.85546875" style="23" bestFit="1" customWidth="1"/>
    <col min="3" max="3" width="20.7109375" style="23" bestFit="1" customWidth="1"/>
    <col min="4" max="4" width="18.140625" style="23" bestFit="1" customWidth="1"/>
    <col min="5" max="5" width="12" style="171" bestFit="1" customWidth="1"/>
    <col min="6" max="6" width="13" style="23" hidden="1" customWidth="1" outlineLevel="1"/>
    <col min="7" max="7" width="17" style="23" hidden="1" customWidth="1" outlineLevel="1"/>
    <col min="8" max="8" width="10.5703125" style="23" hidden="1" customWidth="1" outlineLevel="1"/>
    <col min="9" max="9" width="11" style="23" customWidth="1" collapsed="1"/>
    <col min="10" max="10" width="9.140625" style="23"/>
    <col min="11" max="11" width="27.140625" style="23" bestFit="1" customWidth="1"/>
    <col min="12" max="12" width="55.42578125" style="23" bestFit="1" customWidth="1"/>
    <col min="13" max="14" width="14.140625" style="23" bestFit="1" customWidth="1"/>
    <col min="15" max="16384" width="9.140625" style="23"/>
  </cols>
  <sheetData>
    <row r="1" spans="1:17" x14ac:dyDescent="0.25">
      <c r="A1" s="22" t="s">
        <v>124</v>
      </c>
    </row>
    <row r="2" spans="1:17" x14ac:dyDescent="0.25">
      <c r="A2" s="22" t="s">
        <v>125</v>
      </c>
    </row>
    <row r="3" spans="1:17" x14ac:dyDescent="0.25">
      <c r="A3" s="22" t="s">
        <v>126</v>
      </c>
      <c r="B3" s="24">
        <v>46271</v>
      </c>
    </row>
    <row r="4" spans="1:17" x14ac:dyDescent="0.25">
      <c r="A4" s="25" t="s">
        <v>142</v>
      </c>
      <c r="B4" s="23" t="s">
        <v>601</v>
      </c>
    </row>
    <row r="6" spans="1:17" x14ac:dyDescent="0.25">
      <c r="C6" s="25" t="s">
        <v>333</v>
      </c>
      <c r="E6" s="23"/>
      <c r="F6" s="26"/>
      <c r="I6" s="141"/>
    </row>
    <row r="7" spans="1:17" x14ac:dyDescent="0.25">
      <c r="A7" s="25" t="s">
        <v>119</v>
      </c>
      <c r="B7" s="25" t="s">
        <v>48</v>
      </c>
      <c r="C7" s="23" t="s">
        <v>121</v>
      </c>
      <c r="D7" s="23" t="s">
        <v>156</v>
      </c>
      <c r="E7" s="174" t="s">
        <v>123</v>
      </c>
      <c r="F7" s="23" t="s">
        <v>313</v>
      </c>
      <c r="G7" s="23" t="s">
        <v>312</v>
      </c>
      <c r="H7" s="23" t="s">
        <v>459</v>
      </c>
      <c r="I7" s="26"/>
      <c r="K7" s="154" t="s">
        <v>474</v>
      </c>
    </row>
    <row r="8" spans="1:17" x14ac:dyDescent="0.25">
      <c r="A8" s="23" t="s">
        <v>558</v>
      </c>
      <c r="B8" s="23" t="s">
        <v>559</v>
      </c>
      <c r="C8" s="266">
        <v>237.86000000000004</v>
      </c>
      <c r="D8" s="266">
        <v>118.94000000000001</v>
      </c>
      <c r="E8" s="172">
        <v>356.80000000000007</v>
      </c>
      <c r="F8" s="42" t="e">
        <f>VLOOKUP(A8,'Banking Info'!B:D,2,0)</f>
        <v>#N/A</v>
      </c>
      <c r="G8" s="42" t="e">
        <f>VLOOKUP(A8,'Banking Info'!B:D,3,0)</f>
        <v>#N/A</v>
      </c>
      <c r="H8" s="133" t="s">
        <v>458</v>
      </c>
      <c r="I8" s="83"/>
      <c r="K8" s="152">
        <f>SUM(E8:E29)</f>
        <v>83661.990000000005</v>
      </c>
      <c r="L8" s="151" t="s">
        <v>473</v>
      </c>
    </row>
    <row r="9" spans="1:17" x14ac:dyDescent="0.25">
      <c r="A9" s="23" t="s">
        <v>57</v>
      </c>
      <c r="B9" s="23" t="s">
        <v>59</v>
      </c>
      <c r="C9" s="266">
        <v>10942.439999999991</v>
      </c>
      <c r="D9" s="266">
        <v>26778.560000000009</v>
      </c>
      <c r="E9" s="172">
        <v>37721.000000000015</v>
      </c>
      <c r="F9" s="42">
        <f>VLOOKUP(A9,'Banking Info'!B:D,2,0)</f>
        <v>124000054</v>
      </c>
      <c r="G9" s="42">
        <f>VLOOKUP(A9,'Banking Info'!B:D,3,0)</f>
        <v>427012802</v>
      </c>
      <c r="H9" s="133" t="s">
        <v>458</v>
      </c>
      <c r="K9" s="153">
        <f>K17</f>
        <v>626.58400000000006</v>
      </c>
      <c r="L9" s="151" t="s">
        <v>530</v>
      </c>
    </row>
    <row r="10" spans="1:17" x14ac:dyDescent="0.25">
      <c r="A10" s="268" t="s">
        <v>92</v>
      </c>
      <c r="B10" s="23" t="s">
        <v>94</v>
      </c>
      <c r="C10" s="266">
        <v>964.81000000000006</v>
      </c>
      <c r="D10" s="266">
        <v>2411.9900000000002</v>
      </c>
      <c r="E10" s="172">
        <v>3376.7999999999997</v>
      </c>
      <c r="F10" s="42" t="str">
        <f>VLOOKUP(A10,'Banking Info'!B:D,2,0)</f>
        <v>083901621</v>
      </c>
      <c r="G10" s="42">
        <f>VLOOKUP(A10,'Banking Info'!B:D,3,0)</f>
        <v>1609815</v>
      </c>
      <c r="H10" s="133" t="s">
        <v>458</v>
      </c>
      <c r="I10" s="83"/>
      <c r="K10" s="153">
        <f>K26</f>
        <v>204.98240000000001</v>
      </c>
      <c r="L10" s="151" t="s">
        <v>531</v>
      </c>
    </row>
    <row r="11" spans="1:17" x14ac:dyDescent="0.25">
      <c r="A11" s="23" t="s">
        <v>596</v>
      </c>
      <c r="B11" s="23" t="s">
        <v>567</v>
      </c>
      <c r="C11" s="266">
        <v>229.12</v>
      </c>
      <c r="D11" s="266">
        <v>114.56</v>
      </c>
      <c r="E11" s="172">
        <v>343.68</v>
      </c>
      <c r="F11" s="42" t="e">
        <f>VLOOKUP(A11,'Banking Info'!B:D,2,0)</f>
        <v>#N/A</v>
      </c>
      <c r="G11" s="42" t="e">
        <f>VLOOKUP(A11,'Banking Info'!B:D,3,0)</f>
        <v>#N/A</v>
      </c>
      <c r="H11" s="133" t="s">
        <v>458</v>
      </c>
      <c r="I11" s="83"/>
    </row>
    <row r="12" spans="1:17" x14ac:dyDescent="0.25">
      <c r="A12" s="23" t="s">
        <v>546</v>
      </c>
      <c r="B12" s="23" t="s">
        <v>545</v>
      </c>
      <c r="C12" s="266">
        <v>234.35</v>
      </c>
      <c r="D12" s="266">
        <v>585.88</v>
      </c>
      <c r="E12" s="172">
        <v>820.23</v>
      </c>
      <c r="F12" s="42" t="e">
        <f>VLOOKUP(A12,'Banking Info'!B:D,2,0)</f>
        <v>#N/A</v>
      </c>
      <c r="G12" s="42" t="e">
        <f>VLOOKUP(A12,'Banking Info'!B:D,3,0)</f>
        <v>#N/A</v>
      </c>
      <c r="H12" s="133" t="s">
        <v>458</v>
      </c>
      <c r="I12" s="83"/>
      <c r="K12" s="250" t="s">
        <v>476</v>
      </c>
      <c r="L12" s="251"/>
    </row>
    <row r="13" spans="1:17" x14ac:dyDescent="0.25">
      <c r="A13" s="23" t="s">
        <v>556</v>
      </c>
      <c r="B13" s="23" t="s">
        <v>545</v>
      </c>
      <c r="C13" s="266">
        <v>442.46</v>
      </c>
      <c r="D13" s="266">
        <v>1106.1400000000001</v>
      </c>
      <c r="E13" s="172">
        <v>1548.6</v>
      </c>
      <c r="F13" s="42" t="e">
        <f>VLOOKUP(A13,'Banking Info'!B:D,2,0)</f>
        <v>#N/A</v>
      </c>
      <c r="G13" s="42" t="e">
        <f>VLOOKUP(A13,'Banking Info'!B:D,3,0)</f>
        <v>#N/A</v>
      </c>
      <c r="H13" s="133" t="s">
        <v>458</v>
      </c>
      <c r="I13" s="83"/>
      <c r="K13" s="253" t="s">
        <v>527</v>
      </c>
      <c r="L13" s="253"/>
      <c r="M13" s="252"/>
      <c r="N13" s="252"/>
    </row>
    <row r="14" spans="1:17" x14ac:dyDescent="0.25">
      <c r="A14" s="23" t="s">
        <v>547</v>
      </c>
      <c r="B14" s="23" t="s">
        <v>545</v>
      </c>
      <c r="C14" s="266">
        <v>569.94000000000005</v>
      </c>
      <c r="D14" s="266">
        <v>1424.83</v>
      </c>
      <c r="E14" s="172">
        <v>1994.77</v>
      </c>
      <c r="F14" s="42" t="e">
        <f>VLOOKUP(A14,'Banking Info'!B:D,2,0)</f>
        <v>#N/A</v>
      </c>
      <c r="G14" s="42" t="e">
        <f>VLOOKUP(A14,'Banking Info'!B:D,3,0)</f>
        <v>#N/A</v>
      </c>
      <c r="H14" s="133" t="s">
        <v>458</v>
      </c>
      <c r="I14" s="83"/>
      <c r="K14" s="245">
        <f>$E$30</f>
        <v>559.45000000000005</v>
      </c>
      <c r="L14" s="23" t="s">
        <v>478</v>
      </c>
      <c r="M14" s="141"/>
      <c r="N14" s="141"/>
    </row>
    <row r="15" spans="1:17" x14ac:dyDescent="0.25">
      <c r="A15" s="23" t="s">
        <v>557</v>
      </c>
      <c r="B15" s="23" t="s">
        <v>545</v>
      </c>
      <c r="C15" s="266">
        <v>517.54999999999995</v>
      </c>
      <c r="D15" s="266">
        <v>1293.9099999999999</v>
      </c>
      <c r="E15" s="172">
        <v>1811.4599999999996</v>
      </c>
      <c r="F15" s="42" t="e">
        <f>VLOOKUP(A15,'Banking Info'!B:D,2,0)</f>
        <v>#N/A</v>
      </c>
      <c r="G15" s="42" t="e">
        <f>VLOOKUP(A15,'Banking Info'!B:D,3,0)</f>
        <v>#N/A</v>
      </c>
      <c r="H15" s="133" t="s">
        <v>458</v>
      </c>
      <c r="I15" s="142"/>
      <c r="K15" s="155">
        <f>$E$30*0.05</f>
        <v>27.972500000000004</v>
      </c>
      <c r="L15" s="23" t="s">
        <v>477</v>
      </c>
      <c r="M15" s="269"/>
      <c r="N15" s="269"/>
      <c r="O15" s="269"/>
      <c r="P15" s="268"/>
      <c r="Q15" s="268"/>
    </row>
    <row r="16" spans="1:17" x14ac:dyDescent="0.25">
      <c r="A16" s="23" t="s">
        <v>555</v>
      </c>
      <c r="B16" s="23" t="s">
        <v>545</v>
      </c>
      <c r="C16" s="266">
        <v>406.65999999999991</v>
      </c>
      <c r="D16" s="266">
        <v>1016.63</v>
      </c>
      <c r="E16" s="172">
        <v>1423.2900000000002</v>
      </c>
      <c r="F16" s="42" t="e">
        <f>VLOOKUP(A16,'Banking Info'!B:D,2,0)</f>
        <v>#N/A</v>
      </c>
      <c r="G16" s="42" t="e">
        <f>VLOOKUP(A16,'Banking Info'!B:D,3,0)</f>
        <v>#N/A</v>
      </c>
      <c r="H16" s="133" t="s">
        <v>460</v>
      </c>
      <c r="I16" s="142"/>
      <c r="K16" s="171">
        <f>$E$30*0.07</f>
        <v>39.161500000000004</v>
      </c>
      <c r="L16" s="23" t="s">
        <v>595</v>
      </c>
      <c r="M16" s="268"/>
      <c r="N16" s="269"/>
      <c r="O16" s="268"/>
      <c r="P16" s="268"/>
      <c r="Q16" s="268"/>
    </row>
    <row r="17" spans="1:17" x14ac:dyDescent="0.25">
      <c r="A17" s="23" t="s">
        <v>548</v>
      </c>
      <c r="B17" s="23" t="s">
        <v>545</v>
      </c>
      <c r="C17" s="266">
        <v>573.21</v>
      </c>
      <c r="D17" s="266">
        <v>1433.0100000000002</v>
      </c>
      <c r="E17" s="172">
        <v>2006.2200000000003</v>
      </c>
      <c r="F17" s="42"/>
      <c r="G17" s="42"/>
      <c r="H17" s="133"/>
      <c r="I17" s="142"/>
      <c r="K17" s="247">
        <f>SUM(K14:K16)</f>
        <v>626.58400000000006</v>
      </c>
      <c r="L17" s="246" t="s">
        <v>479</v>
      </c>
      <c r="M17" s="270"/>
      <c r="N17" s="270"/>
      <c r="O17" s="268"/>
      <c r="P17" s="268"/>
      <c r="Q17" s="268"/>
    </row>
    <row r="18" spans="1:17" x14ac:dyDescent="0.25">
      <c r="A18" s="23" t="s">
        <v>554</v>
      </c>
      <c r="B18" s="23" t="s">
        <v>545</v>
      </c>
      <c r="C18" s="266">
        <v>291.52</v>
      </c>
      <c r="D18" s="266">
        <v>728.81999999999994</v>
      </c>
      <c r="E18" s="172">
        <v>1020.34</v>
      </c>
      <c r="K18" s="268"/>
      <c r="M18" s="271"/>
      <c r="N18" s="271"/>
      <c r="O18" s="268"/>
      <c r="P18" s="268"/>
      <c r="Q18" s="268"/>
    </row>
    <row r="19" spans="1:17" x14ac:dyDescent="0.25">
      <c r="A19" s="268" t="s">
        <v>549</v>
      </c>
      <c r="B19" s="23" t="s">
        <v>545</v>
      </c>
      <c r="C19" s="266">
        <v>511.72</v>
      </c>
      <c r="D19" s="266">
        <v>1279.2799999999997</v>
      </c>
      <c r="E19" s="172">
        <v>1790.9999999999998</v>
      </c>
      <c r="K19" s="155"/>
      <c r="M19" s="269"/>
      <c r="N19" s="269"/>
      <c r="O19" s="269"/>
      <c r="P19" s="268"/>
      <c r="Q19" s="268"/>
    </row>
    <row r="20" spans="1:17" x14ac:dyDescent="0.25">
      <c r="A20" s="23" t="s">
        <v>550</v>
      </c>
      <c r="B20" s="23" t="s">
        <v>545</v>
      </c>
      <c r="C20" s="266">
        <v>307.67000000000007</v>
      </c>
      <c r="D20" s="266">
        <v>769.16</v>
      </c>
      <c r="E20" s="172">
        <v>1076.83</v>
      </c>
      <c r="K20" s="224"/>
      <c r="M20" s="268"/>
      <c r="N20" s="269"/>
      <c r="O20" s="268"/>
      <c r="P20" s="268"/>
      <c r="Q20" s="268"/>
    </row>
    <row r="21" spans="1:17" x14ac:dyDescent="0.25">
      <c r="A21" s="23" t="s">
        <v>551</v>
      </c>
      <c r="B21" s="23" t="s">
        <v>545</v>
      </c>
      <c r="C21" s="266">
        <v>344.08000000000004</v>
      </c>
      <c r="D21" s="266">
        <v>860.2</v>
      </c>
      <c r="E21" s="172">
        <v>1204.28</v>
      </c>
      <c r="I21" s="83"/>
      <c r="M21" s="268"/>
      <c r="N21" s="268"/>
      <c r="O21" s="268"/>
      <c r="P21" s="268"/>
      <c r="Q21" s="268"/>
    </row>
    <row r="22" spans="1:17" x14ac:dyDescent="0.25">
      <c r="A22" s="23" t="s">
        <v>553</v>
      </c>
      <c r="B22" s="23" t="s">
        <v>545</v>
      </c>
      <c r="C22" s="266">
        <v>324.81</v>
      </c>
      <c r="D22" s="266">
        <v>811.99</v>
      </c>
      <c r="E22" s="172">
        <v>1136.8</v>
      </c>
      <c r="L22" s="244" t="s">
        <v>526</v>
      </c>
      <c r="M22" s="244"/>
    </row>
    <row r="23" spans="1:17" x14ac:dyDescent="0.25">
      <c r="A23" s="23" t="s">
        <v>552</v>
      </c>
      <c r="B23" s="23" t="s">
        <v>545</v>
      </c>
      <c r="C23" s="266">
        <v>391.36</v>
      </c>
      <c r="D23" s="266">
        <v>978.39999999999986</v>
      </c>
      <c r="E23" s="172">
        <v>1369.76</v>
      </c>
      <c r="K23" s="245">
        <f>$E$31</f>
        <v>183.02</v>
      </c>
      <c r="L23" s="23" t="s">
        <v>478</v>
      </c>
    </row>
    <row r="24" spans="1:17" x14ac:dyDescent="0.25">
      <c r="A24" s="23" t="s">
        <v>543</v>
      </c>
      <c r="B24" s="23" t="s">
        <v>544</v>
      </c>
      <c r="C24" s="266">
        <v>43.660000000000004</v>
      </c>
      <c r="D24" s="266">
        <v>174.64000000000001</v>
      </c>
      <c r="E24" s="172">
        <v>218.3</v>
      </c>
      <c r="K24" s="245">
        <f>$E$31*0.05</f>
        <v>9.1510000000000016</v>
      </c>
      <c r="L24" s="23" t="s">
        <v>477</v>
      </c>
    </row>
    <row r="25" spans="1:17" x14ac:dyDescent="0.25">
      <c r="A25" s="23" t="s">
        <v>568</v>
      </c>
      <c r="B25" s="23" t="s">
        <v>567</v>
      </c>
      <c r="C25" s="266">
        <v>234.39000000000001</v>
      </c>
      <c r="D25" s="266">
        <v>117.18</v>
      </c>
      <c r="E25" s="172">
        <v>351.56999999999994</v>
      </c>
      <c r="K25" s="245">
        <f>$E$31*0.07</f>
        <v>12.811400000000003</v>
      </c>
      <c r="L25" s="23" t="s">
        <v>595</v>
      </c>
    </row>
    <row r="26" spans="1:17" x14ac:dyDescent="0.25">
      <c r="A26" s="23" t="s">
        <v>65</v>
      </c>
      <c r="B26" s="23" t="s">
        <v>66</v>
      </c>
      <c r="C26" s="266">
        <v>2007.51</v>
      </c>
      <c r="D26" s="266">
        <v>5018.7899999999991</v>
      </c>
      <c r="E26" s="172">
        <v>7026.3000000000011</v>
      </c>
      <c r="K26" s="247">
        <f>SUM(K23:K25)</f>
        <v>204.98240000000001</v>
      </c>
      <c r="L26" s="23" t="s">
        <v>479</v>
      </c>
    </row>
    <row r="27" spans="1:17" x14ac:dyDescent="0.25">
      <c r="A27" s="268" t="s">
        <v>134</v>
      </c>
      <c r="B27" s="268" t="s">
        <v>111</v>
      </c>
      <c r="C27" s="266">
        <v>413.33</v>
      </c>
      <c r="D27" s="266">
        <v>1033.32</v>
      </c>
      <c r="E27" s="172">
        <v>1446.6499999999999</v>
      </c>
      <c r="K27" s="249">
        <v>205</v>
      </c>
    </row>
    <row r="28" spans="1:17" x14ac:dyDescent="0.25">
      <c r="A28" s="23" t="s">
        <v>594</v>
      </c>
      <c r="B28" s="23" t="s">
        <v>593</v>
      </c>
      <c r="C28" s="266">
        <v>8297.470000000003</v>
      </c>
      <c r="D28" s="266">
        <v>4148.7500000000018</v>
      </c>
      <c r="E28" s="172">
        <v>12446.219999999992</v>
      </c>
      <c r="I28" s="249">
        <v>11629.37</v>
      </c>
    </row>
    <row r="29" spans="1:17" x14ac:dyDescent="0.25">
      <c r="A29" s="23" t="s">
        <v>85</v>
      </c>
      <c r="B29" s="23" t="s">
        <v>86</v>
      </c>
      <c r="C29" s="266">
        <v>906.01999999999987</v>
      </c>
      <c r="D29" s="266">
        <v>2265.0699999999997</v>
      </c>
      <c r="E29" s="172">
        <v>3171.0899999999997</v>
      </c>
    </row>
    <row r="30" spans="1:17" x14ac:dyDescent="0.25">
      <c r="A30" s="23" t="s">
        <v>528</v>
      </c>
      <c r="B30" s="23" t="s">
        <v>456</v>
      </c>
      <c r="C30" s="266">
        <v>186.48000000000002</v>
      </c>
      <c r="D30" s="266">
        <v>372.96999999999997</v>
      </c>
      <c r="E30" s="173">
        <v>559.45000000000005</v>
      </c>
    </row>
    <row r="31" spans="1:17" x14ac:dyDescent="0.25">
      <c r="A31" s="23" t="s">
        <v>529</v>
      </c>
      <c r="B31" s="23" t="s">
        <v>456</v>
      </c>
      <c r="C31" s="266">
        <v>91.51</v>
      </c>
      <c r="D31" s="266">
        <v>91.51</v>
      </c>
      <c r="E31" s="173">
        <v>183.02</v>
      </c>
    </row>
    <row r="32" spans="1:17" x14ac:dyDescent="0.25">
      <c r="A32" s="23" t="s">
        <v>120</v>
      </c>
      <c r="C32" s="266">
        <v>29469.929999999997</v>
      </c>
      <c r="D32" s="266">
        <v>54934.530000000013</v>
      </c>
      <c r="E32" s="267">
        <v>84404.46</v>
      </c>
    </row>
    <row r="33" spans="1:5" x14ac:dyDescent="0.25">
      <c r="A33"/>
      <c r="B33"/>
      <c r="C33"/>
      <c r="D33"/>
      <c r="E33"/>
    </row>
    <row r="34" spans="1:5" x14ac:dyDescent="0.25">
      <c r="A34"/>
      <c r="B34"/>
      <c r="C34"/>
      <c r="D34"/>
      <c r="E34"/>
    </row>
    <row r="35" spans="1:5" x14ac:dyDescent="0.25">
      <c r="A35"/>
      <c r="B35"/>
      <c r="C35"/>
      <c r="D35"/>
      <c r="E35"/>
    </row>
    <row r="36" spans="1:5" x14ac:dyDescent="0.25">
      <c r="A36"/>
      <c r="B36"/>
      <c r="C36"/>
      <c r="D36"/>
      <c r="E36"/>
    </row>
    <row r="37" spans="1:5" x14ac:dyDescent="0.25">
      <c r="A37"/>
      <c r="B37"/>
      <c r="C37"/>
      <c r="D37"/>
      <c r="E37"/>
    </row>
    <row r="38" spans="1:5" x14ac:dyDescent="0.25">
      <c r="A38"/>
      <c r="B38"/>
      <c r="C38"/>
      <c r="D38"/>
      <c r="E38"/>
    </row>
    <row r="39" spans="1:5" x14ac:dyDescent="0.25">
      <c r="A39"/>
      <c r="B39"/>
      <c r="C39"/>
      <c r="D39"/>
      <c r="E39"/>
    </row>
  </sheetData>
  <mergeCells count="4">
    <mergeCell ref="K12:L12"/>
    <mergeCell ref="M13:N13"/>
    <mergeCell ref="K13:L13"/>
    <mergeCell ref="M17:N17"/>
  </mergeCells>
  <pageMargins left="0.7" right="0.7" top="0.75" bottom="0.75" header="0.3" footer="0.3"/>
  <pageSetup scale="52"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5C47-7D40-47F9-86AD-8EEED8166C2B}">
  <sheetPr>
    <tabColor theme="4" tint="-0.249977111117893"/>
  </sheetPr>
  <dimension ref="G2:M24"/>
  <sheetViews>
    <sheetView tabSelected="1" workbookViewId="0">
      <selection activeCell="H23" sqref="H23"/>
    </sheetView>
  </sheetViews>
  <sheetFormatPr defaultRowHeight="15" x14ac:dyDescent="0.25"/>
  <cols>
    <col min="7" max="7" width="32.5703125" bestFit="1" customWidth="1"/>
    <col min="10" max="10" width="21" bestFit="1" customWidth="1"/>
    <col min="13" max="13" width="10.7109375" bestFit="1" customWidth="1"/>
  </cols>
  <sheetData>
    <row r="2" spans="7:13" x14ac:dyDescent="0.25">
      <c r="G2" t="s">
        <v>558</v>
      </c>
      <c r="H2">
        <v>356.80000000000007</v>
      </c>
      <c r="J2" t="s">
        <v>528</v>
      </c>
      <c r="K2">
        <v>559.45000000000005</v>
      </c>
      <c r="M2" t="s">
        <v>604</v>
      </c>
    </row>
    <row r="3" spans="7:13" x14ac:dyDescent="0.25">
      <c r="G3" t="s">
        <v>57</v>
      </c>
      <c r="H3">
        <v>37721.000000000015</v>
      </c>
      <c r="J3" t="s">
        <v>529</v>
      </c>
      <c r="K3">
        <v>183.02</v>
      </c>
    </row>
    <row r="4" spans="7:13" x14ac:dyDescent="0.25">
      <c r="G4" t="s">
        <v>92</v>
      </c>
      <c r="H4">
        <v>3376.7999999999997</v>
      </c>
    </row>
    <row r="5" spans="7:13" x14ac:dyDescent="0.25">
      <c r="G5" t="s">
        <v>596</v>
      </c>
      <c r="H5">
        <v>343.68</v>
      </c>
    </row>
    <row r="6" spans="7:13" x14ac:dyDescent="0.25">
      <c r="G6" t="s">
        <v>546</v>
      </c>
      <c r="H6">
        <v>820.23</v>
      </c>
    </row>
    <row r="7" spans="7:13" x14ac:dyDescent="0.25">
      <c r="G7" t="s">
        <v>556</v>
      </c>
      <c r="H7">
        <v>1548.6</v>
      </c>
    </row>
    <row r="8" spans="7:13" x14ac:dyDescent="0.25">
      <c r="G8" t="s">
        <v>547</v>
      </c>
      <c r="H8">
        <v>1994.77</v>
      </c>
    </row>
    <row r="9" spans="7:13" x14ac:dyDescent="0.25">
      <c r="G9" t="s">
        <v>557</v>
      </c>
      <c r="H9">
        <v>1811.4599999999996</v>
      </c>
    </row>
    <row r="10" spans="7:13" x14ac:dyDescent="0.25">
      <c r="G10" t="s">
        <v>555</v>
      </c>
      <c r="H10">
        <v>1423.2900000000002</v>
      </c>
    </row>
    <row r="11" spans="7:13" x14ac:dyDescent="0.25">
      <c r="G11" t="s">
        <v>548</v>
      </c>
      <c r="H11">
        <v>2006.2200000000003</v>
      </c>
    </row>
    <row r="12" spans="7:13" x14ac:dyDescent="0.25">
      <c r="G12" t="s">
        <v>554</v>
      </c>
      <c r="H12">
        <v>1020.34</v>
      </c>
    </row>
    <row r="13" spans="7:13" x14ac:dyDescent="0.25">
      <c r="G13" t="s">
        <v>549</v>
      </c>
      <c r="H13">
        <v>1790.9999999999998</v>
      </c>
    </row>
    <row r="14" spans="7:13" x14ac:dyDescent="0.25">
      <c r="G14" t="s">
        <v>550</v>
      </c>
      <c r="H14">
        <v>1076.83</v>
      </c>
    </row>
    <row r="15" spans="7:13" x14ac:dyDescent="0.25">
      <c r="G15" t="s">
        <v>551</v>
      </c>
      <c r="H15">
        <v>1204.28</v>
      </c>
    </row>
    <row r="16" spans="7:13" x14ac:dyDescent="0.25">
      <c r="G16" t="s">
        <v>553</v>
      </c>
      <c r="H16">
        <v>1136.8</v>
      </c>
    </row>
    <row r="17" spans="7:8" x14ac:dyDescent="0.25">
      <c r="G17" t="s">
        <v>552</v>
      </c>
      <c r="H17">
        <v>1369.76</v>
      </c>
    </row>
    <row r="18" spans="7:8" x14ac:dyDescent="0.25">
      <c r="G18" t="s">
        <v>543</v>
      </c>
      <c r="H18">
        <v>218.3</v>
      </c>
    </row>
    <row r="19" spans="7:8" x14ac:dyDescent="0.25">
      <c r="G19" t="s">
        <v>568</v>
      </c>
      <c r="H19">
        <v>351.56999999999994</v>
      </c>
    </row>
    <row r="20" spans="7:8" x14ac:dyDescent="0.25">
      <c r="G20" t="s">
        <v>65</v>
      </c>
      <c r="H20">
        <v>7026.3000000000011</v>
      </c>
    </row>
    <row r="21" spans="7:8" x14ac:dyDescent="0.25">
      <c r="G21" t="s">
        <v>134</v>
      </c>
      <c r="H21">
        <v>1446.6499999999999</v>
      </c>
    </row>
    <row r="22" spans="7:8" x14ac:dyDescent="0.25">
      <c r="G22" t="s">
        <v>594</v>
      </c>
      <c r="H22">
        <v>11629.37</v>
      </c>
    </row>
    <row r="23" spans="7:8" x14ac:dyDescent="0.25">
      <c r="G23" t="s">
        <v>85</v>
      </c>
      <c r="H23">
        <v>3171.0899999999997</v>
      </c>
    </row>
    <row r="24" spans="7:8" x14ac:dyDescent="0.25">
      <c r="H24">
        <v>82845.140000000014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249977111117893"/>
  </sheetPr>
  <dimension ref="A1:I138"/>
  <sheetViews>
    <sheetView zoomScale="80" zoomScaleNormal="80" workbookViewId="0">
      <pane ySplit="4" topLeftCell="A92" activePane="bottomLeft" state="frozen"/>
      <selection pane="bottomLeft" activeCell="E92" sqref="E92"/>
    </sheetView>
  </sheetViews>
  <sheetFormatPr defaultColWidth="8.85546875" defaultRowHeight="15" x14ac:dyDescent="0.25"/>
  <cols>
    <col min="1" max="1" width="31.85546875" bestFit="1" customWidth="1"/>
    <col min="2" max="2" width="23.5703125" bestFit="1" customWidth="1"/>
    <col min="3" max="3" width="18.28515625" customWidth="1"/>
    <col min="4" max="4" width="47.85546875" bestFit="1" customWidth="1"/>
    <col min="5" max="5" width="28.140625" bestFit="1" customWidth="1"/>
    <col min="6" max="6" width="48" customWidth="1"/>
    <col min="7" max="7" width="16.28515625" bestFit="1" customWidth="1"/>
    <col min="8" max="8" width="12.140625" bestFit="1" customWidth="1"/>
    <col min="9" max="9" width="45.85546875" bestFit="1" customWidth="1"/>
  </cols>
  <sheetData>
    <row r="1" spans="1:9" x14ac:dyDescent="0.25">
      <c r="D1" s="21" t="s">
        <v>268</v>
      </c>
      <c r="E1" s="21" t="s">
        <v>269</v>
      </c>
      <c r="F1" s="21" t="s">
        <v>270</v>
      </c>
    </row>
    <row r="2" spans="1:9" x14ac:dyDescent="0.25">
      <c r="D2" s="19">
        <f>COUNTA(B5:B119)</f>
        <v>115</v>
      </c>
      <c r="E2" s="19">
        <v>91</v>
      </c>
      <c r="F2" s="20">
        <f>D2-E2</f>
        <v>24</v>
      </c>
    </row>
    <row r="3" spans="1:9" x14ac:dyDescent="0.25">
      <c r="A3" t="s">
        <v>602</v>
      </c>
      <c r="D3" t="s">
        <v>475</v>
      </c>
    </row>
    <row r="4" spans="1:9" x14ac:dyDescent="0.25">
      <c r="A4" t="s">
        <v>119</v>
      </c>
      <c r="B4" t="s">
        <v>142</v>
      </c>
      <c r="C4" t="s">
        <v>272</v>
      </c>
      <c r="D4" t="s">
        <v>271</v>
      </c>
      <c r="E4" t="s">
        <v>273</v>
      </c>
      <c r="F4" t="s">
        <v>274</v>
      </c>
      <c r="G4" t="s">
        <v>257</v>
      </c>
      <c r="H4" t="s">
        <v>122</v>
      </c>
      <c r="I4" t="s">
        <v>340</v>
      </c>
    </row>
    <row r="5" spans="1:9" s="11" customFormat="1" hidden="1" x14ac:dyDescent="0.25">
      <c r="A5" t="str">
        <f>VLOOKUP(B5,'Rates from Tracker'!B:C,2,0)</f>
        <v>Exceed Group Auburn Village</v>
      </c>
      <c r="B5" s="27" t="s">
        <v>131</v>
      </c>
      <c r="C5" s="11">
        <f>SUMIF(Calculations!G:G,B5,Calculations!L:L)</f>
        <v>585.88</v>
      </c>
      <c r="D5" s="11" t="str">
        <f>IF(Table8[[#This Row],[Rate Increase?]]="Yes","",(VLOOKUP(B5,Calculations!G:K,5,0)*100)&amp;"% of "&amp;DOLLAR(SUMIF(Calculations!G:G,B5,Calculations!F:F),2)&amp;" "&amp;B5)</f>
        <v>5% of $11,717.50 Auburn Village</v>
      </c>
      <c r="E5" s="11">
        <f>SUMIF(Calculations!G:G,B5,Calculations!J:J)</f>
        <v>234.35</v>
      </c>
      <c r="F5" t="str">
        <f>IF(Table8[[#This Row],[Location]]="Belmont Market",1,IF(Table8[[#This Row],[Location]]="Country Club Centre",1,IF(Table8[[#This Row],[Location]]="Naval Air Station Norfolk",0.5,2)))&amp;"% of "&amp;DOLLAR(SUMIF(Calculations!G:G,B5,Calculations!F:F),2)&amp;" "&amp;B5</f>
        <v>2% of $11,717.50 Auburn Village</v>
      </c>
      <c r="G5" s="11" t="str">
        <f>IF((SUMIF(Calculations!$G:$G,Table8[[#This Row],[Location]],Calculations!$K:$K)/COUNTIF(Calculations!$G:$G,Table8[[#This Row],[Location]]))&lt;&gt;VLOOKUP(Table8[[#This Row],[Location]],Calculations!G:M,5,0),"Yes","")</f>
        <v/>
      </c>
      <c r="H5" s="11">
        <f>Table8[[#This Row],[CONTINUINGFEE - Net Value]]+Table8[[#This Row],[MARKETINGFEE - Net Value]]</f>
        <v>820.23</v>
      </c>
    </row>
    <row r="6" spans="1:9" s="11" customFormat="1" hidden="1" x14ac:dyDescent="0.25">
      <c r="A6" t="str">
        <f>VLOOKUP(B6,'Rates from Tracker'!B:C,2,0)</f>
        <v>Paceline Partners, LLC (KS/MO)</v>
      </c>
      <c r="B6" s="27" t="s">
        <v>4</v>
      </c>
      <c r="C6" s="11">
        <f>SUMIF(Calculations!G:G,B6,Calculations!L:L)</f>
        <v>0</v>
      </c>
      <c r="D6" s="11" t="e">
        <f>IF(Table8[[#This Row],[Rate Increase?]]="Yes","",(VLOOKUP(B6,Calculations!G:K,5,0)*100)&amp;"% of "&amp;DOLLAR(SUMIF(Calculations!G:G,B6,Calculations!F:F),2)&amp;" "&amp;B6)</f>
        <v>#DIV/0!</v>
      </c>
      <c r="E6" s="11">
        <f>SUMIF(Calculations!G:G,B6,Calculations!J:J)</f>
        <v>0</v>
      </c>
      <c r="F6" t="str">
        <f>IF(Table8[[#This Row],[Location]]="Belmont Market",1,IF(Table8[[#This Row],[Location]]="Country Club Centre",1,IF(Table8[[#This Row],[Location]]="Naval Air Station Norfolk",0.5,2)))&amp;"% of "&amp;DOLLAR(SUMIF(Calculations!G:G,B6,Calculations!F:F),2)&amp;" "&amp;B6</f>
        <v>2% of $0.00 Blue Springs</v>
      </c>
      <c r="G6" s="11" t="e">
        <f>IF((SUMIF(Calculations!$G:$G,Table8[[#This Row],[Location]],Calculations!$K:$K)/COUNTIF(Calculations!$G:$G,Table8[[#This Row],[Location]]))&lt;&gt;VLOOKUP(Table8[[#This Row],[Location]],Calculations!G:M,5,0),"Yes","")</f>
        <v>#DIV/0!</v>
      </c>
      <c r="H6" s="11">
        <f>Table8[[#This Row],[CONTINUINGFEE - Net Value]]+Table8[[#This Row],[MARKETINGFEE - Net Value]]</f>
        <v>0</v>
      </c>
      <c r="I6" s="11" t="s">
        <v>536</v>
      </c>
    </row>
    <row r="7" spans="1:9" s="11" customFormat="1" hidden="1" x14ac:dyDescent="0.25">
      <c r="A7" t="str">
        <f>VLOOKUP(B7,'Rates from Tracker'!B:C,2,0)</f>
        <v>TSFR Pizza LLC</v>
      </c>
      <c r="B7" s="27" t="s">
        <v>5</v>
      </c>
      <c r="C7" s="11">
        <f>SUMIF(Calculations!G:G,B7,Calculations!L:L)</f>
        <v>1155.22</v>
      </c>
      <c r="D7" s="11" t="str">
        <f>IF(Table8[[#This Row],[Rate Increase?]]="Yes","",(VLOOKUP(B7,Calculations!G:K,5,0)*100)&amp;"% of "&amp;DOLLAR(SUMIF(Calculations!G:G,B7,Calculations!F:F),2)&amp;" "&amp;B7)</f>
        <v>5% of $23,104.49 Brighton</v>
      </c>
      <c r="E7" s="11">
        <f>SUMIF(Calculations!G:G,B7,Calculations!J:J)</f>
        <v>462.08</v>
      </c>
      <c r="F7" t="str">
        <f>IF(Table8[[#This Row],[Location]]="Belmont Market",1,IF(Table8[[#This Row],[Location]]="Country Club Centre",1,IF(Table8[[#This Row],[Location]]="Naval Air Station Norfolk",0.5,2)))&amp;"% of "&amp;DOLLAR(SUMIF(Calculations!G:G,B7,Calculations!F:F),2)&amp;" "&amp;B7</f>
        <v>2% of $23,104.49 Brighton</v>
      </c>
      <c r="H7" s="11">
        <f>Table8[[#This Row],[CONTINUINGFEE - Net Value]]+Table8[[#This Row],[MARKETINGFEE - Net Value]]</f>
        <v>1617.3</v>
      </c>
    </row>
    <row r="8" spans="1:9" s="11" customFormat="1" hidden="1" x14ac:dyDescent="0.25">
      <c r="A8" t="str">
        <f>VLOOKUP(B8,'Rates from Tracker'!B:C,2,0)</f>
        <v>TSFR Pizza LLC</v>
      </c>
      <c r="B8" s="27" t="s">
        <v>6</v>
      </c>
      <c r="C8" s="11">
        <f>SUMIF(Calculations!G:G,B8,Calculations!L:L)</f>
        <v>0</v>
      </c>
      <c r="D8" s="11" t="e">
        <f>IF(Table8[[#This Row],[Rate Increase?]]="Yes","",(VLOOKUP(B8,Calculations!G:K,5,0)*100)&amp;"% of "&amp;DOLLAR(SUMIF(Calculations!G:G,B8,Calculations!F:F),2)&amp;" "&amp;B8)</f>
        <v>#DIV/0!</v>
      </c>
      <c r="E8" s="11">
        <f>SUMIF(Calculations!G:G,B8,Calculations!J:J)</f>
        <v>0</v>
      </c>
      <c r="F8" t="str">
        <f>IF(Table8[[#This Row],[Location]]="Belmont Market",1,IF(Table8[[#This Row],[Location]]="Country Club Centre",1,IF(Table8[[#This Row],[Location]]="Naval Air Station Norfolk",0.5,2)))&amp;"% of "&amp;DOLLAR(SUMIF(Calculations!G:G,B8,Calculations!F:F),2)&amp;" "&amp;B8</f>
        <v>2% of $0.00 Canton</v>
      </c>
      <c r="G8" s="11" t="e">
        <f>IF((SUMIF(Calculations!$G:$G,Table8[[#This Row],[Location]],Calculations!$K:$K)/COUNTIF(Calculations!$G:$G,Table8[[#This Row],[Location]]))&lt;&gt;VLOOKUP(Table8[[#This Row],[Location]],Calculations!G:M,5,0),"Yes","")</f>
        <v>#DIV/0!</v>
      </c>
      <c r="H8" s="11">
        <f>Table8[[#This Row],[CONTINUINGFEE - Net Value]]+Table8[[#This Row],[MARKETINGFEE - Net Value]]</f>
        <v>0</v>
      </c>
      <c r="I8" s="11" t="s">
        <v>536</v>
      </c>
    </row>
    <row r="9" spans="1:9" s="11" customFormat="1" hidden="1" x14ac:dyDescent="0.25">
      <c r="A9" t="str">
        <f>VLOOKUP(B9,'Rates from Tracker'!B:C,2,0)</f>
        <v>Best Pizza LLC</v>
      </c>
      <c r="B9" s="27" t="s">
        <v>7</v>
      </c>
      <c r="C9" s="11">
        <f>SUMIF(Calculations!G:G,B9,Calculations!L:L)</f>
        <v>1428.3700000000001</v>
      </c>
      <c r="D9" s="11" t="str">
        <f>IF(Table8[[#This Row],[Rate Increase?]]="Yes","",(VLOOKUP(B9,Calculations!G:K,5,0)*100)&amp;"% of "&amp;DOLLAR(SUMIF(Calculations!G:G,B9,Calculations!F:F),2)&amp;" "&amp;B9)</f>
        <v>5% of $28,567.53 Castle Rock</v>
      </c>
      <c r="E9" s="11">
        <f>SUMIF(Calculations!G:G,B9,Calculations!J:J)</f>
        <v>571.36000000000013</v>
      </c>
      <c r="F9" t="str">
        <f>IF(Table8[[#This Row],[Location]]="Belmont Market",1,IF(Table8[[#This Row],[Location]]="Country Club Centre",1,IF(Table8[[#This Row],[Location]]="Naval Air Station Norfolk",0.5,2)))&amp;"% of "&amp;DOLLAR(SUMIF(Calculations!G:G,B9,Calculations!F:F),2)&amp;" "&amp;B9</f>
        <v>2% of $28,567.53 Castle Rock</v>
      </c>
      <c r="G9" s="11" t="str">
        <f>IF((SUMIF(Calculations!$G:$G,Table8[[#This Row],[Location]],Calculations!$K:$K)/COUNTIF(Calculations!$G:$G,Table8[[#This Row],[Location]]))&lt;&gt;VLOOKUP(Table8[[#This Row],[Location]],Calculations!G:M,5,0),"Yes","")</f>
        <v/>
      </c>
      <c r="H9" s="11">
        <f>Table8[[#This Row],[CONTINUINGFEE - Net Value]]+Table8[[#This Row],[MARKETINGFEE - Net Value]]</f>
        <v>1999.7300000000002</v>
      </c>
    </row>
    <row r="10" spans="1:9" s="11" customFormat="1" hidden="1" x14ac:dyDescent="0.25">
      <c r="A10" t="str">
        <f>VLOOKUP(B10,'Rates from Tracker'!B:C,2,0)</f>
        <v>Best Pizza LLC</v>
      </c>
      <c r="B10" s="27" t="s">
        <v>8</v>
      </c>
      <c r="C10" s="11">
        <f>SUMIF(Calculations!G:G,B10,Calculations!L:L)</f>
        <v>1198.1400000000001</v>
      </c>
      <c r="D10" s="11" t="str">
        <f>IF(Table8[[#This Row],[Rate Increase?]]="Yes","",(VLOOKUP(B10,Calculations!G:K,5,0)*100)&amp;"% of "&amp;DOLLAR(SUMIF(Calculations!G:G,B10,Calculations!F:F),2)&amp;" "&amp;B10)</f>
        <v>5% of $23,962.69 Centre Avenue</v>
      </c>
      <c r="E10" s="11">
        <f>SUMIF(Calculations!G:G,B10,Calculations!J:J)</f>
        <v>479.26000000000005</v>
      </c>
      <c r="F10" t="str">
        <f>IF(Table8[[#This Row],[Location]]="Belmont Market",1,IF(Table8[[#This Row],[Location]]="Country Club Centre",1,IF(Table8[[#This Row],[Location]]="Naval Air Station Norfolk",0.5,2)))&amp;"% of "&amp;DOLLAR(SUMIF(Calculations!G:G,B10,Calculations!F:F),2)&amp;" "&amp;B10</f>
        <v>2% of $23,962.69 Centre Avenue</v>
      </c>
      <c r="G10" s="11" t="str">
        <f>IF((SUMIF(Calculations!$G:$G,Table8[[#This Row],[Location]],Calculations!$K:$K)/COUNTIF(Calculations!$G:$G,Table8[[#This Row],[Location]]))&lt;&gt;VLOOKUP(Table8[[#This Row],[Location]],Calculations!G:M,5,0),"Yes","")</f>
        <v/>
      </c>
      <c r="H10" s="11">
        <f>Table8[[#This Row],[CONTINUINGFEE - Net Value]]+Table8[[#This Row],[MARKETINGFEE - Net Value]]</f>
        <v>1677.4</v>
      </c>
    </row>
    <row r="11" spans="1:9" s="11" customFormat="1" hidden="1" x14ac:dyDescent="0.25">
      <c r="A11" t="str">
        <f>VLOOKUP(B11,'Rates from Tracker'!B:C,2,0)</f>
        <v>Cool Dough Development, LLC</v>
      </c>
      <c r="B11" s="27" t="s">
        <v>164</v>
      </c>
      <c r="C11" s="11">
        <f>SUMIF(Calculations!G:G,B11,Calculations!L:L)</f>
        <v>0</v>
      </c>
      <c r="D11" s="11" t="e">
        <f>IF(Table8[[#This Row],[Rate Increase?]]="Yes","",(VLOOKUP(B11,Calculations!G:K,5,0)*100)&amp;"% of "&amp;DOLLAR(SUMIF(Calculations!G:G,B11,Calculations!F:F),2)&amp;" "&amp;B11)</f>
        <v>#DIV/0!</v>
      </c>
      <c r="E11" s="11">
        <f>SUMIF(Calculations!G:G,B11,Calculations!J:J)</f>
        <v>0</v>
      </c>
      <c r="F11" t="str">
        <f>IF(Table8[[#This Row],[Location]]="Belmont Market",1,IF(Table8[[#This Row],[Location]]="Country Club Centre",1,IF(Table8[[#This Row],[Location]]="Naval Air Station Norfolk",0.5,2)))&amp;"% of "&amp;DOLLAR(SUMIF(Calculations!G:G,B11,Calculations!F:F),2)&amp;" "&amp;B11</f>
        <v>2% of $0.00 Tates Creek #7</v>
      </c>
      <c r="G11" s="11" t="e">
        <f>IF((SUMIF(Calculations!$G:$G,Table8[[#This Row],[Location]],Calculations!$K:$K)/COUNTIF(Calculations!$G:$G,Table8[[#This Row],[Location]]))&lt;&gt;VLOOKUP(Table8[[#This Row],[Location]],Calculations!G:M,5,0),"Yes","")</f>
        <v>#DIV/0!</v>
      </c>
      <c r="H11" s="11">
        <f>Table8[[#This Row],[CONTINUINGFEE - Net Value]]+Table8[[#This Row],[MARKETINGFEE - Net Value]]</f>
        <v>0</v>
      </c>
      <c r="I11" s="11" t="s">
        <v>537</v>
      </c>
    </row>
    <row r="12" spans="1:9" s="11" customFormat="1" hidden="1" x14ac:dyDescent="0.25">
      <c r="A12" t="str">
        <f>VLOOKUP(B12,'Rates from Tracker'!B:C,2,0)</f>
        <v>Exceed Group Chico</v>
      </c>
      <c r="B12" s="27" t="s">
        <v>10</v>
      </c>
      <c r="C12" s="11">
        <f>SUMIF(Calculations!G:G,B12,Calculations!L:L)</f>
        <v>1424.83</v>
      </c>
      <c r="D12" s="11" t="str">
        <f>IF(Table8[[#This Row],[Rate Increase?]]="Yes","",(VLOOKUP(B12,Calculations!G:K,5,0)*100)&amp;"% of "&amp;DOLLAR(SUMIF(Calculations!G:G,B12,Calculations!F:F),2)&amp;" "&amp;B12)</f>
        <v>5% of $28,496.67 Chico</v>
      </c>
      <c r="E12" s="11" t="s">
        <v>603</v>
      </c>
      <c r="F12" t="str">
        <f>IF(Table8[[#This Row],[Location]]="Belmont Market",1,IF(Table8[[#This Row],[Location]]="Country Club Centre",1,IF(Table8[[#This Row],[Location]]="Naval Air Station Norfolk",0.5,2)))&amp;"% of "&amp;DOLLAR(SUMIF(Calculations!G:G,B12,Calculations!F:F),2)&amp;" "&amp;B12</f>
        <v>2% of $28,496.67 Chico</v>
      </c>
      <c r="G12" s="11" t="str">
        <f>IF((SUMIF(Calculations!$G:$G,Table8[[#This Row],[Location]],Calculations!$K:$K)/COUNTIF(Calculations!$G:$G,Table8[[#This Row],[Location]]))&lt;&gt;VLOOKUP(Table8[[#This Row],[Location]],Calculations!G:M,5,0),"Yes","")</f>
        <v/>
      </c>
      <c r="H12" s="11" t="e">
        <f>Table8[[#This Row],[CONTINUINGFEE - Net Value]]+Table8[[#This Row],[MARKETINGFEE - Net Value]]</f>
        <v>#VALUE!</v>
      </c>
    </row>
    <row r="13" spans="1:9" s="11" customFormat="1" hidden="1" x14ac:dyDescent="0.25">
      <c r="A13" t="str">
        <f>VLOOKUP(B13,'Rates from Tracker'!B:C,2,0)</f>
        <v>Best Pizza LLC</v>
      </c>
      <c r="B13" s="27" t="s">
        <v>267</v>
      </c>
      <c r="C13" s="11">
        <f>SUMIF(Calculations!G:G,B13,Calculations!L:L)</f>
        <v>1877.6599999999999</v>
      </c>
      <c r="D13" s="11" t="str">
        <f>IF(Table8[[#This Row],[Rate Increase?]]="Yes","",(VLOOKUP(B13,Calculations!G:K,5,0)*100)&amp;"% of "&amp;DOLLAR(SUMIF(Calculations!G:G,B13,Calculations!F:F),2)&amp;" "&amp;B13)</f>
        <v>5% of $37,553.28 Dublin Commons</v>
      </c>
      <c r="E13" s="11">
        <f>SUMIF(Calculations!G:G,B13,Calculations!J:J)</f>
        <v>751.07999999999993</v>
      </c>
      <c r="F13" t="str">
        <f>IF(Table8[[#This Row],[Location]]="Belmont Market",1,IF(Table8[[#This Row],[Location]]="Country Club Centre",1,IF(Table8[[#This Row],[Location]]="Naval Air Station Norfolk",0.5,2)))&amp;"% of "&amp;DOLLAR(SUMIF(Calculations!G:G,B13,Calculations!F:F),2)&amp;" "&amp;B13</f>
        <v>2% of $37,553.28 Dublin Commons</v>
      </c>
      <c r="G13" s="11" t="str">
        <f>IF((SUMIF(Calculations!$G:$G,Table8[[#This Row],[Location]],Calculations!$K:$K)/COUNTIF(Calculations!$G:$G,Table8[[#This Row],[Location]]))&lt;&gt;VLOOKUP(Table8[[#This Row],[Location]],Calculations!G:M,5,0),"Yes","")</f>
        <v/>
      </c>
      <c r="H13" s="11">
        <f>Table8[[#This Row],[CONTINUINGFEE - Net Value]]+Table8[[#This Row],[MARKETINGFEE - Net Value]]</f>
        <v>2628.74</v>
      </c>
    </row>
    <row r="14" spans="1:9" s="11" customFormat="1" hidden="1" x14ac:dyDescent="0.25">
      <c r="A14" t="str">
        <f>VLOOKUP(B14,'Rates from Tracker'!B:C,2,0)</f>
        <v>Cool Dough Development, LLC</v>
      </c>
      <c r="B14" s="27" t="s">
        <v>159</v>
      </c>
      <c r="C14" s="11">
        <f>SUMIF(Calculations!G:G,B14,Calculations!L:L)</f>
        <v>638.94000000000005</v>
      </c>
      <c r="D14" s="11" t="str">
        <f>IF(Table8[[#This Row],[Rate Increase?]]="Yes","",(VLOOKUP(B14,Calculations!G:K,5,0)*100)&amp;"% of "&amp;DOLLAR(SUMIF(Calculations!G:G,B14,Calculations!F:F),2)&amp;" "&amp;B14)</f>
        <v>5% of $12,778.75 Evansville #11</v>
      </c>
      <c r="E14" s="11">
        <f>SUMIF(Calculations!G:G,B14,Calculations!J:J)</f>
        <v>255.57999999999998</v>
      </c>
      <c r="F14" t="str">
        <f>IF(Table8[[#This Row],[Location]]="Belmont Market",1,IF(Table8[[#This Row],[Location]]="Country Club Centre",1,IF(Table8[[#This Row],[Location]]="Naval Air Station Norfolk",0.5,2)))&amp;"% of "&amp;DOLLAR(SUMIF(Calculations!G:G,B14,Calculations!F:F),2)&amp;" "&amp;B14</f>
        <v>2% of $12,778.75 Evansville #11</v>
      </c>
      <c r="G14" s="11" t="str">
        <f>IF((SUMIF(Calculations!$G:$G,Table8[[#This Row],[Location]],Calculations!$K:$K)/COUNTIF(Calculations!$G:$G,Table8[[#This Row],[Location]]))&lt;&gt;VLOOKUP(Table8[[#This Row],[Location]],Calculations!G:M,5,0),"Yes","")</f>
        <v/>
      </c>
      <c r="H14" s="11">
        <f>Table8[[#This Row],[CONTINUINGFEE - Net Value]]+Table8[[#This Row],[MARKETINGFEE - Net Value]]</f>
        <v>894.52</v>
      </c>
    </row>
    <row r="15" spans="1:9" s="11" customFormat="1" hidden="1" x14ac:dyDescent="0.25">
      <c r="A15" t="str">
        <f>VLOOKUP(B15,'Rates from Tracker'!B:C,2,0)</f>
        <v>Best Pizza LLC</v>
      </c>
      <c r="B15" s="27" t="s">
        <v>11</v>
      </c>
      <c r="C15" s="11">
        <f>SUMIF(Calculations!G:G,B15,Calculations!L:L)</f>
        <v>918.43</v>
      </c>
      <c r="D15" s="11" t="str">
        <f>IF(Table8[[#This Row],[Rate Increase?]]="Yes","",(VLOOKUP(B15,Calculations!G:K,5,0)*100)&amp;"% of "&amp;DOLLAR(SUMIF(Calculations!G:G,B15,Calculations!F:F),2)&amp;" "&amp;B15)</f>
        <v>5% of $18,368.47 Falcon Landing</v>
      </c>
      <c r="E15" s="11">
        <f>SUMIF(Calculations!G:G,B15,Calculations!J:J)</f>
        <v>367.38</v>
      </c>
      <c r="F15" t="str">
        <f>IF(Table8[[#This Row],[Location]]="Belmont Market",1,IF(Table8[[#This Row],[Location]]="Country Club Centre",1,IF(Table8[[#This Row],[Location]]="Naval Air Station Norfolk",0.5,2)))&amp;"% of "&amp;DOLLAR(SUMIF(Calculations!G:G,B15,Calculations!F:F),2)&amp;" "&amp;B15</f>
        <v>2% of $18,368.47 Falcon Landing</v>
      </c>
      <c r="G15" s="11" t="str">
        <f>IF((SUMIF(Calculations!$G:$G,Table8[[#This Row],[Location]],Calculations!$K:$K)/COUNTIF(Calculations!$G:$G,Table8[[#This Row],[Location]]))&lt;&gt;VLOOKUP(Table8[[#This Row],[Location]],Calculations!G:M,5,0),"Yes","")</f>
        <v/>
      </c>
      <c r="H15" s="11">
        <f>Table8[[#This Row],[CONTINUINGFEE - Net Value]]+Table8[[#This Row],[MARKETINGFEE - Net Value]]</f>
        <v>1285.81</v>
      </c>
    </row>
    <row r="16" spans="1:9" s="11" customFormat="1" hidden="1" x14ac:dyDescent="0.25">
      <c r="A16" t="str">
        <f>VLOOKUP(B16,'Rates from Tracker'!B:C,2,0)</f>
        <v>Best Pizza LLC</v>
      </c>
      <c r="B16" s="27" t="s">
        <v>13</v>
      </c>
      <c r="C16" s="11">
        <f>SUMIF(Calculations!G:G,B16,Calculations!L:L)</f>
        <v>1378.7</v>
      </c>
      <c r="D16" s="11" t="str">
        <f>IF(Table8[[#This Row],[Rate Increase?]]="Yes","",(VLOOKUP(B16,Calculations!G:K,5,0)*100)&amp;"% of "&amp;DOLLAR(SUMIF(Calculations!G:G,B16,Calculations!F:F),2)&amp;" "&amp;B16)</f>
        <v>5% of $27,573.77 Forest Trace</v>
      </c>
      <c r="E16" s="11">
        <f>SUMIF(Calculations!G:G,B16,Calculations!J:J)</f>
        <v>551.47</v>
      </c>
      <c r="F16" t="str">
        <f>IF(Table8[[#This Row],[Location]]="Belmont Market",1,IF(Table8[[#This Row],[Location]]="Country Club Centre",1,IF(Table8[[#This Row],[Location]]="Naval Air Station Norfolk",0.5,2)))&amp;"% of "&amp;DOLLAR(SUMIF(Calculations!G:G,B16,Calculations!F:F),2)&amp;" "&amp;B16</f>
        <v>2% of $27,573.77 Forest Trace</v>
      </c>
      <c r="G16" s="11" t="str">
        <f>IF((SUMIF(Calculations!$G:$G,Table8[[#This Row],[Location]],Calculations!$K:$K)/COUNTIF(Calculations!$G:$G,Table8[[#This Row],[Location]]))&lt;&gt;VLOOKUP(Table8[[#This Row],[Location]],Calculations!G:M,5,0),"Yes","")</f>
        <v/>
      </c>
      <c r="H16" s="11">
        <f>Table8[[#This Row],[CONTINUINGFEE - Net Value]]+Table8[[#This Row],[MARKETINGFEE - Net Value]]</f>
        <v>1930.17</v>
      </c>
    </row>
    <row r="17" spans="1:9" s="11" customFormat="1" hidden="1" x14ac:dyDescent="0.25">
      <c r="A17" t="str">
        <f>VLOOKUP(B17,'Rates from Tracker'!B:C,2,0)</f>
        <v>Paceline Partners, LLC (OH)</v>
      </c>
      <c r="B17" s="27" t="s">
        <v>14</v>
      </c>
      <c r="C17" s="11">
        <f>SUMIF(Calculations!G:G,B17,Calculations!L:L)</f>
        <v>0</v>
      </c>
      <c r="D17" s="11" t="e">
        <f>IF(Table8[[#This Row],[Rate Increase?]]="Yes","",(VLOOKUP(B17,Calculations!G:K,5,0)*100)&amp;"% of "&amp;DOLLAR(SUMIF(Calculations!G:G,B17,Calculations!F:F),2)&amp;" "&amp;B17)</f>
        <v>#DIV/0!</v>
      </c>
      <c r="E17" s="11">
        <f>SUMIF(Calculations!G:G,B17,Calculations!J:J)</f>
        <v>0</v>
      </c>
      <c r="F17" t="str">
        <f>IF(Table8[[#This Row],[Location]]="Belmont Market",1,IF(Table8[[#This Row],[Location]]="Country Club Centre",1,IF(Table8[[#This Row],[Location]]="Naval Air Station Norfolk",0.5,2)))&amp;"% of "&amp;DOLLAR(SUMIF(Calculations!G:G,B17,Calculations!F:F),2)&amp;" "&amp;B17</f>
        <v>2% of $0.00 Gahanna</v>
      </c>
      <c r="G17" s="11" t="e">
        <f>IF((SUMIF(Calculations!$G:$G,Table8[[#This Row],[Location]],Calculations!$K:$K)/COUNTIF(Calculations!$G:$G,Table8[[#This Row],[Location]]))&lt;&gt;VLOOKUP(Table8[[#This Row],[Location]],Calculations!G:M,5,0),"Yes","")</f>
        <v>#DIV/0!</v>
      </c>
      <c r="H17" s="11">
        <f>Table8[[#This Row],[CONTINUINGFEE - Net Value]]+Table8[[#This Row],[MARKETINGFEE - Net Value]]</f>
        <v>0</v>
      </c>
      <c r="I17" s="11" t="s">
        <v>536</v>
      </c>
    </row>
    <row r="18" spans="1:9" s="11" customFormat="1" hidden="1" x14ac:dyDescent="0.25">
      <c r="A18" t="str">
        <f>VLOOKUP(B18,'Rates from Tracker'!B:C,2,0)</f>
        <v>Cool Dough Development, LLC</v>
      </c>
      <c r="B18" s="27" t="s">
        <v>163</v>
      </c>
      <c r="C18" s="11">
        <f>SUMIF(Calculations!G:G,B18,Calculations!L:L)</f>
        <v>1076.23</v>
      </c>
      <c r="D18" s="11" t="str">
        <f>IF(Table8[[#This Row],[Rate Increase?]]="Yes","",(VLOOKUP(B18,Calculations!G:K,5,0)*100)&amp;"% of "&amp;DOLLAR(SUMIF(Calculations!G:G,B18,Calculations!F:F),2)&amp;" "&amp;B18)</f>
        <v>5% of $21,524.58 Hamburg #6</v>
      </c>
      <c r="E18" s="11">
        <f>SUMIF(Calculations!G:G,B18,Calculations!J:J)</f>
        <v>430.5</v>
      </c>
      <c r="F18" t="str">
        <f>IF(Table8[[#This Row],[Location]]="Belmont Market",1,IF(Table8[[#This Row],[Location]]="Country Club Centre",1,IF(Table8[[#This Row],[Location]]="Naval Air Station Norfolk",0.5,2)))&amp;"% of "&amp;DOLLAR(SUMIF(Calculations!G:G,B18,Calculations!F:F),2)&amp;" "&amp;B18</f>
        <v>2% of $21,524.58 Hamburg #6</v>
      </c>
      <c r="G18" s="11" t="str">
        <f>IF((SUMIF(Calculations!$G:$G,Table8[[#This Row],[Location]],Calculations!$K:$K)/COUNTIF(Calculations!$G:$G,Table8[[#This Row],[Location]]))&lt;&gt;VLOOKUP(Table8[[#This Row],[Location]],Calculations!G:M,5,0),"Yes","")</f>
        <v/>
      </c>
      <c r="H18" s="11">
        <f>Table8[[#This Row],[CONTINUINGFEE - Net Value]]+Table8[[#This Row],[MARKETINGFEE - Net Value]]</f>
        <v>1506.73</v>
      </c>
    </row>
    <row r="19" spans="1:9" s="11" customFormat="1" hidden="1" x14ac:dyDescent="0.25">
      <c r="A19" t="str">
        <f>VLOOKUP(B19,'Rates from Tracker'!B:C,2,0)</f>
        <v>Exceed Group Howe Bout Arden</v>
      </c>
      <c r="B19" s="27" t="s">
        <v>17</v>
      </c>
      <c r="C19" s="11">
        <f>SUMIF(Calculations!G:G,B19,Calculations!L:L)</f>
        <v>1433.0100000000002</v>
      </c>
      <c r="D19" s="11" t="str">
        <f>IF(Table8[[#This Row],[Rate Increase?]]="Yes","",(VLOOKUP(B19,Calculations!G:K,5,0)*100)&amp;"% of "&amp;DOLLAR(SUMIF(Calculations!G:G,B19,Calculations!F:F),2)&amp;" "&amp;B19)</f>
        <v>5% of $28,660.17 Howe Bout Arden</v>
      </c>
      <c r="E19" s="11">
        <f>SUMIF(Calculations!G:G,B19,Calculations!J:J)</f>
        <v>573.21</v>
      </c>
      <c r="F19" t="str">
        <f>IF(Table8[[#This Row],[Location]]="Belmont Market",1,IF(Table8[[#This Row],[Location]]="Country Club Centre",1,IF(Table8[[#This Row],[Location]]="Naval Air Station Norfolk",0.5,2)))&amp;"% of "&amp;DOLLAR(SUMIF(Calculations!G:G,B19,Calculations!F:F),2)&amp;" "&amp;B19</f>
        <v>2% of $28,660.17 Howe Bout Arden</v>
      </c>
      <c r="G19" s="11" t="str">
        <f>IF((SUMIF(Calculations!$G:$G,Table8[[#This Row],[Location]],Calculations!$K:$K)/COUNTIF(Calculations!$G:$G,Table8[[#This Row],[Location]]))&lt;&gt;VLOOKUP(Table8[[#This Row],[Location]],Calculations!G:M,5,0),"Yes","")</f>
        <v/>
      </c>
      <c r="H19" s="11">
        <f>Table8[[#This Row],[CONTINUINGFEE - Net Value]]+Table8[[#This Row],[MARKETINGFEE - Net Value]]</f>
        <v>2006.2200000000003</v>
      </c>
    </row>
    <row r="20" spans="1:9" s="11" customFormat="1" hidden="1" x14ac:dyDescent="0.25">
      <c r="A20" t="str">
        <f>VLOOKUP(B20,'Rates from Tracker'!B:C,2,0)</f>
        <v>Southern Pie LLC</v>
      </c>
      <c r="B20" s="27" t="s">
        <v>133</v>
      </c>
      <c r="C20" s="11">
        <f>SUMIF(Calculations!G:G,B20,Calculations!L:L)</f>
        <v>1033.32</v>
      </c>
      <c r="D20" s="11" t="str">
        <f>IF(Table8[[#This Row],[Rate Increase?]]="Yes","",(VLOOKUP(B20,Calculations!G:K,5,0)*100)&amp;"% of "&amp;DOLLAR(SUMIF(Calculations!G:G,B20,Calculations!F:F),2)&amp;" "&amp;B20)</f>
        <v>5% of $20,666.22 Kennesaw</v>
      </c>
      <c r="E20" s="11">
        <f>SUMIF(Calculations!G:G,B20,Calculations!J:J)</f>
        <v>413.33</v>
      </c>
      <c r="F20" t="str">
        <f>IF(Table8[[#This Row],[Location]]="Belmont Market",1,IF(Table8[[#This Row],[Location]]="Country Club Centre",1,IF(Table8[[#This Row],[Location]]="Naval Air Station Norfolk",0.5,2)))&amp;"% of "&amp;DOLLAR(SUMIF(Calculations!G:G,B20,Calculations!F:F),2)&amp;" "&amp;B20</f>
        <v>2% of $20,666.22 Kennesaw</v>
      </c>
      <c r="G20" s="11" t="str">
        <f>IF((SUMIF(Calculations!$G:$G,Table8[[#This Row],[Location]],Calculations!$K:$K)/COUNTIF(Calculations!$G:$G,Table8[[#This Row],[Location]]))&lt;&gt;VLOOKUP(Table8[[#This Row],[Location]],Calculations!G:M,5,0),"Yes","")</f>
        <v/>
      </c>
      <c r="H20" s="11">
        <f>Table8[[#This Row],[CONTINUINGFEE - Net Value]]+Table8[[#This Row],[MARKETINGFEE - Net Value]]</f>
        <v>1446.6499999999999</v>
      </c>
    </row>
    <row r="21" spans="1:9" s="11" customFormat="1" hidden="1" x14ac:dyDescent="0.25">
      <c r="A21" t="str">
        <f>VLOOKUP(B21,'Rates from Tracker'!B:C,2,0)</f>
        <v>Paceline Partners, LLC (KS/MO)</v>
      </c>
      <c r="B21" s="27" t="s">
        <v>19</v>
      </c>
      <c r="C21" s="11">
        <f>SUMIF(Calculations!G:G,B21,Calculations!L:L)</f>
        <v>0</v>
      </c>
      <c r="D21" s="11" t="e">
        <f>IF(Table8[[#This Row],[Rate Increase?]]="Yes","",(VLOOKUP(B21,Calculations!G:K,5,0)*100)&amp;"% of "&amp;DOLLAR(SUMIF(Calculations!G:G,B21,Calculations!F:F),2)&amp;" "&amp;B21)</f>
        <v>#DIV/0!</v>
      </c>
      <c r="E21" s="11">
        <f>SUMIF(Calculations!G:G,B21,Calculations!J:J)</f>
        <v>0</v>
      </c>
      <c r="F21" t="str">
        <f>IF(Table8[[#This Row],[Location]]="Belmont Market",1,IF(Table8[[#This Row],[Location]]="Country Club Centre",1,IF(Table8[[#This Row],[Location]]="Naval Air Station Norfolk",0.5,2)))&amp;"% of "&amp;DOLLAR(SUMIF(Calculations!G:G,B21,Calculations!F:F),2)&amp;" "&amp;B21</f>
        <v>2% of $0.00 Liberty Triangle</v>
      </c>
      <c r="G21" s="11" t="e">
        <f>IF((SUMIF(Calculations!$G:$G,Table8[[#This Row],[Location]],Calculations!$K:$K)/COUNTIF(Calculations!$G:$G,Table8[[#This Row],[Location]]))&lt;&gt;VLOOKUP(Table8[[#This Row],[Location]],Calculations!G:M,5,0),"Yes","")</f>
        <v>#DIV/0!</v>
      </c>
      <c r="H21" s="11">
        <f>Table8[[#This Row],[CONTINUINGFEE - Net Value]]+Table8[[#This Row],[MARKETINGFEE - Net Value]]</f>
        <v>0</v>
      </c>
      <c r="I21" s="11" t="s">
        <v>536</v>
      </c>
    </row>
    <row r="22" spans="1:9" s="11" customFormat="1" hidden="1" x14ac:dyDescent="0.25">
      <c r="A22" t="str">
        <f>VLOOKUP(B22,'Rates from Tracker'!B:C,2,0)</f>
        <v>TSFR Pizza LLC</v>
      </c>
      <c r="B22" s="27" t="s">
        <v>424</v>
      </c>
      <c r="C22" s="11">
        <f>SUMIF(Calculations!G:G,B22,Calculations!L:L)</f>
        <v>1109.8499999999999</v>
      </c>
      <c r="D22" s="11" t="str">
        <f>IF(Table8[[#This Row],[Rate Increase?]]="Yes","",(VLOOKUP(B22,Calculations!G:K,5,0)*100)&amp;"% of "&amp;DOLLAR(SUMIF(Calculations!G:G,B22,Calculations!F:F),2)&amp;" "&amp;B22)</f>
        <v>5% of $22,197.05 LIVONIA</v>
      </c>
      <c r="E22" s="11">
        <f>SUMIF(Calculations!G:G,B22,Calculations!J:J)</f>
        <v>443.93999999999994</v>
      </c>
      <c r="F22" t="str">
        <f>IF(Table8[[#This Row],[Location]]="Belmont Market",1,IF(Table8[[#This Row],[Location]]="Country Club Centre",1,IF(Table8[[#This Row],[Location]]="Naval Air Station Norfolk",0.5,2)))&amp;"% of "&amp;DOLLAR(SUMIF(Calculations!G:G,B22,Calculations!F:F),2)&amp;" "&amp;B22</f>
        <v>2% of $22,197.05 LIVONIA</v>
      </c>
      <c r="G22" s="11" t="str">
        <f>IF((SUMIF(Calculations!$G:$G,Table8[[#This Row],[Location]],Calculations!$K:$K)/COUNTIF(Calculations!$G:$G,Table8[[#This Row],[Location]]))&lt;&gt;VLOOKUP(Table8[[#This Row],[Location]],Calculations!G:M,5,0),"Yes","")</f>
        <v/>
      </c>
      <c r="H22" s="11">
        <f>Table8[[#This Row],[CONTINUINGFEE - Net Value]]+Table8[[#This Row],[MARKETINGFEE - Net Value]]</f>
        <v>1553.79</v>
      </c>
    </row>
    <row r="23" spans="1:9" s="11" customFormat="1" hidden="1" x14ac:dyDescent="0.25">
      <c r="A23" t="str">
        <f>VLOOKUP(B23,'Rates from Tracker'!B:C,2,0)</f>
        <v>Best Pizza LLC</v>
      </c>
      <c r="B23" s="182" t="s">
        <v>494</v>
      </c>
      <c r="C23" s="11">
        <f>SUMIF(Calculations!G:G,B23,Calculations!L:L)</f>
        <v>938.57</v>
      </c>
      <c r="D23" s="11" t="str">
        <f>IF(Table8[[#This Row],[Rate Increase?]]="Yes","",(VLOOKUP(B23,Calculations!G:K,5,0)*100)&amp;"% of "&amp;DOLLAR(SUMIF(Calculations!G:G,B23,Calculations!F:F),2)&amp;" "&amp;B23)</f>
        <v>5% of $18,771.04 Lowry</v>
      </c>
      <c r="E23" s="11">
        <f>SUMIF(Calculations!G:G,B23,Calculations!J:J)</f>
        <v>375.42</v>
      </c>
      <c r="F23" t="str">
        <f>IF(Table8[[#This Row],[Location]]="Belmont Market",1,IF(Table8[[#This Row],[Location]]="Country Club Centre",1,IF(Table8[[#This Row],[Location]]="Naval Air Station Norfolk",0.5,2)))&amp;"% of "&amp;DOLLAR(SUMIF(Calculations!G:G,B23,Calculations!F:F),2)&amp;" "&amp;B23</f>
        <v>2% of $18,771.04 Lowry</v>
      </c>
      <c r="G23" s="11" t="str">
        <f>IF((SUMIF(Calculations!$G:$G,Table8[[#This Row],[Location]],Calculations!$K:$K)/COUNTIF(Calculations!$G:$G,Table8[[#This Row],[Location]]))&lt;&gt;VLOOKUP(Table8[[#This Row],[Location]],Calculations!G:M,5,0),"Yes","")</f>
        <v/>
      </c>
      <c r="H23" s="11">
        <f>Table8[[#This Row],[CONTINUINGFEE - Net Value]]+Table8[[#This Row],[MARKETINGFEE - Net Value]]</f>
        <v>1313.99</v>
      </c>
    </row>
    <row r="24" spans="1:9" s="11" customFormat="1" hidden="1" x14ac:dyDescent="0.25">
      <c r="A24" t="str">
        <f>VLOOKUP(B24,'Rates from Tracker'!B:C,2,0)</f>
        <v>Best Pizza LLC</v>
      </c>
      <c r="B24" s="27" t="s">
        <v>20</v>
      </c>
      <c r="C24" s="11">
        <f>SUMIF(Calculations!G:G,B24,Calculations!L:L)</f>
        <v>1099.3700000000001</v>
      </c>
      <c r="D24" s="11" t="str">
        <f>IF(Table8[[#This Row],[Rate Increase?]]="Yes","",(VLOOKUP(B24,Calculations!G:K,5,0)*100)&amp;"% of "&amp;DOLLAR(SUMIF(Calculations!G:G,B24,Calculations!F:F),2)&amp;" "&amp;B24)</f>
        <v>5% of $21,987.26 McCaslin Marketplace</v>
      </c>
      <c r="E24" s="11">
        <f>SUMIF(Calculations!G:G,B24,Calculations!J:J)</f>
        <v>439.74000000000007</v>
      </c>
      <c r="F24" t="str">
        <f>IF(Table8[[#This Row],[Location]]="Belmont Market",1,IF(Table8[[#This Row],[Location]]="Country Club Centre",1,IF(Table8[[#This Row],[Location]]="Naval Air Station Norfolk",0.5,2)))&amp;"% of "&amp;DOLLAR(SUMIF(Calculations!G:G,B24,Calculations!F:F),2)&amp;" "&amp;B24</f>
        <v>2% of $21,987.26 McCaslin Marketplace</v>
      </c>
      <c r="G24" s="11" t="str">
        <f>IF((SUMIF(Calculations!$G:$G,Table8[[#This Row],[Location]],Calculations!$K:$K)/COUNTIF(Calculations!$G:$G,Table8[[#This Row],[Location]]))&lt;&gt;VLOOKUP(Table8[[#This Row],[Location]],Calculations!G:M,5,0),"Yes","")</f>
        <v/>
      </c>
      <c r="H24" s="11">
        <f>Table8[[#This Row],[CONTINUINGFEE - Net Value]]+Table8[[#This Row],[MARKETINGFEE - Net Value]]</f>
        <v>1539.1100000000001</v>
      </c>
    </row>
    <row r="25" spans="1:9" s="11" customFormat="1" hidden="1" x14ac:dyDescent="0.25">
      <c r="A25" t="str">
        <f>VLOOKUP(B25,'Rates from Tracker'!B:C,2,0)</f>
        <v>Paceline Partners, LLC (OH)</v>
      </c>
      <c r="B25" s="27" t="s">
        <v>22</v>
      </c>
      <c r="C25" s="11">
        <f>SUMIF(Calculations!G:G,B25,Calculations!L:L)</f>
        <v>0</v>
      </c>
      <c r="D25" s="11" t="e">
        <f>IF(Table8[[#This Row],[Rate Increase?]]="Yes","",(VLOOKUP(B25,Calculations!G:K,5,0)*100)&amp;"% of "&amp;DOLLAR(SUMIF(Calculations!G:G,B25,Calculations!F:F),2)&amp;" "&amp;B25)</f>
        <v>#DIV/0!</v>
      </c>
      <c r="E25" s="11">
        <f>SUMIF(Calculations!G:G,B25,Calculations!J:J)</f>
        <v>0</v>
      </c>
      <c r="F25" t="str">
        <f>IF(Table8[[#This Row],[Location]]="Belmont Market",1,IF(Table8[[#This Row],[Location]]="Country Club Centre",1,IF(Table8[[#This Row],[Location]]="Naval Air Station Norfolk",0.5,2)))&amp;"% of "&amp;DOLLAR(SUMIF(Calculations!G:G,B25,Calculations!F:F),2)&amp;" "&amp;B25</f>
        <v>2% of $0.00 Morse Road</v>
      </c>
      <c r="G25" s="11" t="e">
        <f>IF((SUMIF(Calculations!$G:$G,Table8[[#This Row],[Location]],Calculations!$K:$K)/COUNTIF(Calculations!$G:$G,Table8[[#This Row],[Location]]))&lt;&gt;VLOOKUP(Table8[[#This Row],[Location]],Calculations!G:M,5,0),"Yes","")</f>
        <v>#DIV/0!</v>
      </c>
      <c r="H25" s="11">
        <f>Table8[[#This Row],[CONTINUINGFEE - Net Value]]+Table8[[#This Row],[MARKETINGFEE - Net Value]]</f>
        <v>0</v>
      </c>
      <c r="I25" s="11" t="s">
        <v>536</v>
      </c>
    </row>
    <row r="26" spans="1:9" s="11" customFormat="1" hidden="1" x14ac:dyDescent="0.25">
      <c r="A26" t="str">
        <f>VLOOKUP(B26,'Rates from Tracker'!B:C,2,0)</f>
        <v>Rolling Dough LLC</v>
      </c>
      <c r="B26" s="27" t="s">
        <v>23</v>
      </c>
      <c r="C26" s="11">
        <f>SUMIF(Calculations!G:G,B26,Calculations!L:L)</f>
        <v>861.6400000000001</v>
      </c>
      <c r="D26" s="11" t="str">
        <f>IF(Table8[[#This Row],[Rate Increase?]]="Yes","",(VLOOKUP(B26,Calculations!G:K,5,0)*100)&amp;"% of "&amp;DOLLAR(SUMIF(Calculations!G:G,B26,Calculations!F:F),2)&amp;" "&amp;B26)</f>
        <v>5% of $17,232.81 NE Columbia</v>
      </c>
      <c r="E26" s="11">
        <f>SUMIF(Calculations!G:G,B26,Calculations!J:J)</f>
        <v>344.65</v>
      </c>
      <c r="F26" t="str">
        <f>IF(Table8[[#This Row],[Location]]="Belmont Market",1,IF(Table8[[#This Row],[Location]]="Country Club Centre",1,IF(Table8[[#This Row],[Location]]="Naval Air Station Norfolk",0.5,2)))&amp;"% of "&amp;DOLLAR(SUMIF(Calculations!G:G,B26,Calculations!F:F),2)&amp;" "&amp;B26</f>
        <v>2% of $17,232.81 NE Columbia</v>
      </c>
      <c r="G26" s="11" t="str">
        <f>IF((SUMIF(Calculations!$G:$G,Table8[[#This Row],[Location]],Calculations!$K:$K)/COUNTIF(Calculations!$G:$G,Table8[[#This Row],[Location]]))&lt;&gt;VLOOKUP(Table8[[#This Row],[Location]],Calculations!G:M,5,0),"Yes","")</f>
        <v/>
      </c>
      <c r="H26" s="11">
        <f>Table8[[#This Row],[CONTINUINGFEE - Net Value]]+Table8[[#This Row],[MARKETINGFEE - Net Value]]</f>
        <v>1206.29</v>
      </c>
    </row>
    <row r="27" spans="1:9" s="11" customFormat="1" hidden="1" x14ac:dyDescent="0.25">
      <c r="A27" t="str">
        <f>VLOOKUP(B27,'Rates from Tracker'!B:C,2,0)</f>
        <v>Rolling Dough LLC</v>
      </c>
      <c r="B27" s="27" t="s">
        <v>24</v>
      </c>
      <c r="C27" s="11">
        <f>SUMIF(Calculations!G:G,B27,Calculations!L:L)</f>
        <v>651.74</v>
      </c>
      <c r="D27" s="11" t="str">
        <f>IF(Table8[[#This Row],[Rate Increase?]]="Yes","",(VLOOKUP(B27,Calculations!G:K,5,0)*100)&amp;"% of "&amp;DOLLAR(SUMIF(Calculations!G:G,B27,Calculations!F:F),2)&amp;" "&amp;B27)</f>
        <v>5% of $13,034.60 North Charleston</v>
      </c>
      <c r="E27" s="11">
        <f>SUMIF(Calculations!G:G,B27,Calculations!J:J)</f>
        <v>260.68</v>
      </c>
      <c r="F27" t="str">
        <f>IF(Table8[[#This Row],[Location]]="Belmont Market",1,IF(Table8[[#This Row],[Location]]="Country Club Centre",1,IF(Table8[[#This Row],[Location]]="Naval Air Station Norfolk",0.5,2)))&amp;"% of "&amp;DOLLAR(SUMIF(Calculations!G:G,B27,Calculations!F:F),2)&amp;" "&amp;B27</f>
        <v>2% of $13,034.60 North Charleston</v>
      </c>
      <c r="G27" s="11" t="str">
        <f>IF((SUMIF(Calculations!$G:$G,Table8[[#This Row],[Location]],Calculations!$K:$K)/COUNTIF(Calculations!$G:$G,Table8[[#This Row],[Location]]))&lt;&gt;VLOOKUP(Table8[[#This Row],[Location]],Calculations!G:M,5,0),"Yes","")</f>
        <v/>
      </c>
      <c r="H27" s="11">
        <f>Table8[[#This Row],[CONTINUINGFEE - Net Value]]+Table8[[#This Row],[MARKETINGFEE - Net Value]]</f>
        <v>912.42000000000007</v>
      </c>
    </row>
    <row r="28" spans="1:9" s="11" customFormat="1" hidden="1" x14ac:dyDescent="0.25">
      <c r="A28" t="str">
        <f>VLOOKUP(B28,'Rates from Tracker'!B:C,2,0)</f>
        <v>Rolling Dough LLC</v>
      </c>
      <c r="B28" s="27" t="s">
        <v>25</v>
      </c>
      <c r="C28" s="11">
        <f>SUMIF(Calculations!G:G,B28,Calculations!L:L)</f>
        <v>0</v>
      </c>
      <c r="D28" s="11" t="e">
        <f>IF(Table8[[#This Row],[Rate Increase?]]="Yes","",(VLOOKUP(B28,Calculations!G:K,5,0)*100)&amp;"% of "&amp;DOLLAR(SUMIF(Calculations!G:G,B28,Calculations!F:F),2)&amp;" "&amp;B28)</f>
        <v>#DIV/0!</v>
      </c>
      <c r="E28" s="11">
        <f>SUMIF(Calculations!G:G,B28,Calculations!J:J)</f>
        <v>0</v>
      </c>
      <c r="F28" t="str">
        <f>IF(Table8[[#This Row],[Location]]="Belmont Market",1,IF(Table8[[#This Row],[Location]]="Country Club Centre",1,IF(Table8[[#This Row],[Location]]="Naval Air Station Norfolk",0.5,2)))&amp;"% of "&amp;DOLLAR(SUMIF(Calculations!G:G,B28,Calculations!F:F),2)&amp;" "&amp;B28</f>
        <v>2% of $0.00 North Myrtle Beach</v>
      </c>
      <c r="G28" s="11" t="e">
        <f>IF((SUMIF(Calculations!$G:$G,Table8[[#This Row],[Location]],Calculations!$K:$K)/COUNTIF(Calculations!$G:$G,Table8[[#This Row],[Location]]))&lt;&gt;VLOOKUP(Table8[[#This Row],[Location]],Calculations!G:M,5,0),"Yes","")</f>
        <v>#DIV/0!</v>
      </c>
      <c r="H28" s="11">
        <f>Table8[[#This Row],[CONTINUINGFEE - Net Value]]+Table8[[#This Row],[MARKETINGFEE - Net Value]]</f>
        <v>0</v>
      </c>
    </row>
    <row r="29" spans="1:9" s="11" customFormat="1" hidden="1" x14ac:dyDescent="0.25">
      <c r="A29" t="str">
        <f>VLOOKUP(B29,'Rates from Tracker'!B:C,2,0)</f>
        <v>TSFR Pizza LLC</v>
      </c>
      <c r="B29" s="27" t="s">
        <v>26</v>
      </c>
      <c r="C29" s="11">
        <f>SUMIF(Calculations!G:G,B29,Calculations!L:L)</f>
        <v>0</v>
      </c>
      <c r="D29" s="11" t="e">
        <f>IF(Table8[[#This Row],[Rate Increase?]]="Yes","",(VLOOKUP(B29,Calculations!G:K,5,0)*100)&amp;"% of "&amp;DOLLAR(SUMIF(Calculations!G:G,B29,Calculations!F:F),2)&amp;" "&amp;B29)</f>
        <v>#DIV/0!</v>
      </c>
      <c r="E29" s="11">
        <f>SUMIF(Calculations!G:G,B29,Calculations!J:J)</f>
        <v>0</v>
      </c>
      <c r="F29" t="str">
        <f>IF(Table8[[#This Row],[Location]]="Belmont Market",1,IF(Table8[[#This Row],[Location]]="Country Club Centre",1,IF(Table8[[#This Row],[Location]]="Naval Air Station Norfolk",0.5,2)))&amp;"% of "&amp;DOLLAR(SUMIF(Calculations!G:G,B29,Calculations!F:F),2)&amp;" "&amp;B29</f>
        <v>2% of $0.00 Northville</v>
      </c>
      <c r="G29" s="11" t="e">
        <f>IF((SUMIF(Calculations!$G:$G,Table8[[#This Row],[Location]],Calculations!$K:$K)/COUNTIF(Calculations!$G:$G,Table8[[#This Row],[Location]]))&lt;&gt;VLOOKUP(Table8[[#This Row],[Location]],Calculations!G:M,5,0),"Yes","")</f>
        <v>#DIV/0!</v>
      </c>
      <c r="H29" s="11">
        <f>Table8[[#This Row],[CONTINUINGFEE - Net Value]]+Table8[[#This Row],[MARKETINGFEE - Net Value]]</f>
        <v>0</v>
      </c>
      <c r="I29" s="11" t="s">
        <v>393</v>
      </c>
    </row>
    <row r="30" spans="1:9" s="11" customFormat="1" hidden="1" x14ac:dyDescent="0.25">
      <c r="A30" t="str">
        <f>VLOOKUP(B30,'Rates from Tracker'!B:C,2,0)</f>
        <v>Cool Dough Development, LLC</v>
      </c>
      <c r="B30" s="27" t="s">
        <v>160</v>
      </c>
      <c r="C30" s="11">
        <f>SUMIF(Calculations!G:G,B30,Calculations!L:L)</f>
        <v>0</v>
      </c>
      <c r="D30" s="11" t="e">
        <f>IF(Table8[[#This Row],[Rate Increase?]]="Yes","",(VLOOKUP(B30,Calculations!G:K,5,0)*100)&amp;"% of "&amp;DOLLAR(SUMIF(Calculations!G:G,B30,Calculations!F:F),2)&amp;" "&amp;B30)</f>
        <v>#DIV/0!</v>
      </c>
      <c r="E30" s="11">
        <f>SUMIF(Calculations!G:G,B30,Calculations!J:J)</f>
        <v>0</v>
      </c>
      <c r="F30" t="str">
        <f>IF(Table8[[#This Row],[Location]]="Belmont Market",1,IF(Table8[[#This Row],[Location]]="Country Club Centre",1,IF(Table8[[#This Row],[Location]]="Naval Air Station Norfolk",0.5,2)))&amp;"% of "&amp;DOLLAR(SUMIF(Calculations!G:G,B30,Calculations!F:F),2)&amp;" "&amp;B30</f>
        <v>2% of $0.00 Oakley #2</v>
      </c>
      <c r="G30" s="11" t="e">
        <f>IF((SUMIF(Calculations!$G:$G,Table8[[#This Row],[Location]],Calculations!$K:$K)/COUNTIF(Calculations!$G:$G,Table8[[#This Row],[Location]]))&lt;&gt;VLOOKUP(Table8[[#This Row],[Location]],Calculations!G:M,5,0),"Yes","")</f>
        <v>#DIV/0!</v>
      </c>
      <c r="H30" s="11">
        <f>Table8[[#This Row],[CONTINUINGFEE - Net Value]]+Table8[[#This Row],[MARKETINGFEE - Net Value]]</f>
        <v>0</v>
      </c>
      <c r="I30" s="11" t="s">
        <v>536</v>
      </c>
    </row>
    <row r="31" spans="1:9" s="11" customFormat="1" hidden="1" x14ac:dyDescent="0.25">
      <c r="A31" t="str">
        <f>VLOOKUP(B31,'Rates from Tracker'!B:C,2,0)</f>
        <v>Cool Dough Development, LLC</v>
      </c>
      <c r="B31" s="27" t="s">
        <v>165</v>
      </c>
      <c r="C31" s="11">
        <f>SUMIF(Calculations!G:G,B31,Calculations!L:L)</f>
        <v>0</v>
      </c>
      <c r="D31" s="11" t="e">
        <f>IF(Table8[[#This Row],[Rate Increase?]]="Yes","",(VLOOKUP(B31,Calculations!G:K,5,0)*100)&amp;"% of "&amp;DOLLAR(SUMIF(Calculations!G:G,B31,Calculations!F:F),2)&amp;" "&amp;B31)</f>
        <v>#DIV/0!</v>
      </c>
      <c r="E31" s="11">
        <f>SUMIF(Calculations!G:G,B31,Calculations!J:J)</f>
        <v>0</v>
      </c>
      <c r="F31" t="str">
        <f>IF(Table8[[#This Row],[Location]]="Belmont Market",1,IF(Table8[[#This Row],[Location]]="Country Club Centre",1,IF(Table8[[#This Row],[Location]]="Naval Air Station Norfolk",0.5,2)))&amp;"% of "&amp;DOLLAR(SUMIF(Calculations!G:G,B31,Calculations!F:F),2)&amp;" "&amp;B31</f>
        <v>2% of $0.00 Owensboro #8</v>
      </c>
      <c r="G31" s="11" t="e">
        <f>IF((SUMIF(Calculations!$G:$G,Table8[[#This Row],[Location]],Calculations!$K:$K)/COUNTIF(Calculations!$G:$G,Table8[[#This Row],[Location]]))&lt;&gt;VLOOKUP(Table8[[#This Row],[Location]],Calculations!G:M,5,0),"Yes","")</f>
        <v>#DIV/0!</v>
      </c>
      <c r="H31" s="11">
        <f>Table8[[#This Row],[CONTINUINGFEE - Net Value]]+Table8[[#This Row],[MARKETINGFEE - Net Value]]</f>
        <v>0</v>
      </c>
    </row>
    <row r="32" spans="1:9" s="11" customFormat="1" hidden="1" x14ac:dyDescent="0.25">
      <c r="A32" t="str">
        <f>VLOOKUP(B32,'Rates from Tracker'!B:C,2,0)</f>
        <v>Best Pizza LLC</v>
      </c>
      <c r="B32" s="27" t="s">
        <v>29</v>
      </c>
      <c r="C32" s="11">
        <f>SUMIF(Calculations!G:G,B32,Calculations!L:L)</f>
        <v>1113.72</v>
      </c>
      <c r="D32" s="11" t="str">
        <f>IF(Table8[[#This Row],[Rate Increase?]]="Yes","",(VLOOKUP(B32,Calculations!G:K,5,0)*100)&amp;"% of "&amp;DOLLAR(SUMIF(Calculations!G:G,B32,Calculations!F:F),2)&amp;" "&amp;B32)</f>
        <v>5% of $22,274.18 Park Meadows</v>
      </c>
      <c r="E32" s="11">
        <f>SUMIF(Calculations!G:G,B32,Calculations!J:J)</f>
        <v>445.46999999999997</v>
      </c>
      <c r="F32" t="str">
        <f>IF(Table8[[#This Row],[Location]]="Belmont Market",1,IF(Table8[[#This Row],[Location]]="Country Club Centre",1,IF(Table8[[#This Row],[Location]]="Naval Air Station Norfolk",0.5,2)))&amp;"% of "&amp;DOLLAR(SUMIF(Calculations!G:G,B32,Calculations!F:F),2)&amp;" "&amp;B32</f>
        <v>2% of $22,274.18 Park Meadows</v>
      </c>
      <c r="G32" s="11" t="str">
        <f>IF((SUMIF(Calculations!$G:$G,Table8[[#This Row],[Location]],Calculations!$K:$K)/COUNTIF(Calculations!$G:$G,Table8[[#This Row],[Location]]))&lt;&gt;VLOOKUP(Table8[[#This Row],[Location]],Calculations!G:M,5,0),"Yes","")</f>
        <v/>
      </c>
      <c r="H32" s="11">
        <f>Table8[[#This Row],[CONTINUINGFEE - Net Value]]+Table8[[#This Row],[MARKETINGFEE - Net Value]]</f>
        <v>1559.19</v>
      </c>
    </row>
    <row r="33" spans="1:9" s="11" customFormat="1" hidden="1" x14ac:dyDescent="0.25">
      <c r="A33" t="str">
        <f>VLOOKUP(B33,'Rates from Tracker'!B:C,2,0)</f>
        <v>Paceline Partners, LLC (KS/MO)</v>
      </c>
      <c r="B33" s="27" t="s">
        <v>139</v>
      </c>
      <c r="C33" s="11">
        <f>SUMIF(Calculations!G:G,B33,Calculations!L:L)</f>
        <v>0</v>
      </c>
      <c r="D33" s="11" t="e">
        <f>IF(Table8[[#This Row],[Rate Increase?]]="Yes","",(VLOOKUP(B33,Calculations!G:K,5,0)*100)&amp;"% of "&amp;DOLLAR(SUMIF(Calculations!G:G,B33,Calculations!F:F),2)&amp;" "&amp;B33)</f>
        <v>#DIV/0!</v>
      </c>
      <c r="E33" s="11">
        <f>SUMIF(Calculations!G:G,B33,Calculations!J:J)</f>
        <v>0</v>
      </c>
      <c r="F33" t="str">
        <f>IF(Table8[[#This Row],[Location]]="Belmont Market",1,IF(Table8[[#This Row],[Location]]="Country Club Centre",1,IF(Table8[[#This Row],[Location]]="Naval Air Station Norfolk",0.5,2)))&amp;"% of "&amp;DOLLAR(SUMIF(Calculations!G:G,B33,Calculations!F:F),2)&amp;" "&amp;B33</f>
        <v>2% of $0.00 Raymore</v>
      </c>
      <c r="G33" s="11" t="e">
        <f>IF((SUMIF(Calculations!$G:$G,Table8[[#This Row],[Location]],Calculations!$K:$K)/COUNTIF(Calculations!$G:$G,Table8[[#This Row],[Location]]))&lt;&gt;VLOOKUP(Table8[[#This Row],[Location]],Calculations!G:M,5,0),"Yes","")</f>
        <v>#DIV/0!</v>
      </c>
      <c r="H33" s="11">
        <f>Table8[[#This Row],[CONTINUINGFEE - Net Value]]+Table8[[#This Row],[MARKETINGFEE - Net Value]]</f>
        <v>0</v>
      </c>
      <c r="I33" s="11" t="s">
        <v>536</v>
      </c>
    </row>
    <row r="34" spans="1:9" s="11" customFormat="1" hidden="1" x14ac:dyDescent="0.25">
      <c r="A34" t="str">
        <f>VLOOKUP(B34,'Rates from Tracker'!B:C,2,0)</f>
        <v>Exceed Group REDDING</v>
      </c>
      <c r="B34" s="27" t="s">
        <v>262</v>
      </c>
      <c r="C34" s="11">
        <f>SUMIF(Calculations!G:G,B34,Calculations!L:L)</f>
        <v>1279.2799999999997</v>
      </c>
      <c r="D34" s="11" t="str">
        <f>IF(Table8[[#This Row],[Rate Increase?]]="Yes","",(VLOOKUP(B34,Calculations!G:K,5,0)*100)&amp;"% of "&amp;DOLLAR(SUMIF(Calculations!G:G,B34,Calculations!F:F),2)&amp;" "&amp;B34)</f>
        <v>5% of $25,585.68 REDDING</v>
      </c>
      <c r="E34" s="11">
        <f>SUMIF(Calculations!G:G,B34,Calculations!J:J)</f>
        <v>511.72</v>
      </c>
      <c r="F34" t="str">
        <f>IF(Table8[[#This Row],[Location]]="Belmont Market",1,IF(Table8[[#This Row],[Location]]="Country Club Centre",1,IF(Table8[[#This Row],[Location]]="Naval Air Station Norfolk",0.5,2)))&amp;"% of "&amp;DOLLAR(SUMIF(Calculations!G:G,B34,Calculations!F:F),2)&amp;" "&amp;B34</f>
        <v>2% of $25,585.68 REDDING</v>
      </c>
      <c r="H34" s="11">
        <f>Table8[[#This Row],[CONTINUINGFEE - Net Value]]+Table8[[#This Row],[MARKETINGFEE - Net Value]]</f>
        <v>1790.9999999999998</v>
      </c>
    </row>
    <row r="35" spans="1:9" s="11" customFormat="1" hidden="1" x14ac:dyDescent="0.25">
      <c r="A35" t="str">
        <f>VLOOKUP(B35,'Rates from Tracker'!B:C,2,0)</f>
        <v>Exceed Group Redfield Promenade</v>
      </c>
      <c r="B35" s="27" t="s">
        <v>155</v>
      </c>
      <c r="C35" s="11">
        <f>SUMIF(Calculations!G:G,B35,Calculations!L:L)</f>
        <v>769.16</v>
      </c>
      <c r="D35" s="11" t="str">
        <f>IF(Table8[[#This Row],[Rate Increase?]]="Yes","",(VLOOKUP(B35,Calculations!G:K,5,0)*100)&amp;"% of "&amp;DOLLAR(SUMIF(Calculations!G:G,B35,Calculations!F:F),2)&amp;" "&amp;B35)</f>
        <v>5% of $15,383.16 Redfield Promenade</v>
      </c>
      <c r="E35" s="11">
        <f>SUMIF(Calculations!G:G,B35,Calculations!J:J)</f>
        <v>307.67000000000007</v>
      </c>
      <c r="F35" t="str">
        <f>IF(Table8[[#This Row],[Location]]="Belmont Market",1,IF(Table8[[#This Row],[Location]]="Country Club Centre",1,IF(Table8[[#This Row],[Location]]="Naval Air Station Norfolk",0.5,2)))&amp;"% of "&amp;DOLLAR(SUMIF(Calculations!G:G,B35,Calculations!F:F),2)&amp;" "&amp;B35</f>
        <v>2% of $15,383.16 Redfield Promenade</v>
      </c>
      <c r="G35" s="11" t="str">
        <f>IF((SUMIF(Calculations!$G:$G,Table8[[#This Row],[Location]],Calculations!$K:$K)/COUNTIF(Calculations!$G:$G,Table8[[#This Row],[Location]]))&lt;&gt;VLOOKUP(Table8[[#This Row],[Location]],Calculations!G:M,5,0),"Yes","")</f>
        <v/>
      </c>
      <c r="H35" s="11">
        <f>Table8[[#This Row],[CONTINUINGFEE - Net Value]]+Table8[[#This Row],[MARKETINGFEE - Net Value]]</f>
        <v>1076.83</v>
      </c>
    </row>
    <row r="36" spans="1:9" s="11" customFormat="1" hidden="1" x14ac:dyDescent="0.25">
      <c r="A36" t="str">
        <f>VLOOKUP(B36,'Rates from Tracker'!B:C,2,0)</f>
        <v>TSFR Pizza LLC</v>
      </c>
      <c r="B36" s="27" t="s">
        <v>32</v>
      </c>
      <c r="C36" s="11">
        <f>SUMIF(Calculations!G:G,B36,Calculations!L:L)</f>
        <v>0</v>
      </c>
      <c r="D36" s="11" t="e">
        <f>IF(Table8[[#This Row],[Rate Increase?]]="Yes","",(VLOOKUP(B36,Calculations!G:K,5,0)*100)&amp;"% of "&amp;DOLLAR(SUMIF(Calculations!G:G,B36,Calculations!F:F),2)&amp;" "&amp;B36)</f>
        <v>#DIV/0!</v>
      </c>
      <c r="E36" s="11">
        <f>SUMIF(Calculations!G:G,B36,Calculations!J:J)</f>
        <v>0</v>
      </c>
      <c r="F36" t="str">
        <f>IF(Table8[[#This Row],[Location]]="Belmont Market",1,IF(Table8[[#This Row],[Location]]="Country Club Centre",1,IF(Table8[[#This Row],[Location]]="Naval Air Station Norfolk",0.5,2)))&amp;"% of "&amp;DOLLAR(SUMIF(Calculations!G:G,B36,Calculations!F:F),2)&amp;" "&amp;B36</f>
        <v>2% of $0.00 Rochester Hills</v>
      </c>
      <c r="G36" s="11" t="e">
        <f>IF((SUMIF(Calculations!$G:$G,Table8[[#This Row],[Location]],Calculations!$K:$K)/COUNTIF(Calculations!$G:$G,Table8[[#This Row],[Location]]))&lt;&gt;VLOOKUP(Table8[[#This Row],[Location]],Calculations!G:M,5,0),"Yes","")</f>
        <v>#DIV/0!</v>
      </c>
      <c r="H36" s="11">
        <f>Table8[[#This Row],[CONTINUINGFEE - Net Value]]+Table8[[#This Row],[MARKETINGFEE - Net Value]]</f>
        <v>0</v>
      </c>
      <c r="I36" s="11" t="s">
        <v>393</v>
      </c>
    </row>
    <row r="37" spans="1:9" s="11" customFormat="1" hidden="1" x14ac:dyDescent="0.25">
      <c r="A37" t="str">
        <f>VLOOKUP(B37,'Rates from Tracker'!B:C,2,0)</f>
        <v>Exceed Group ROCKLIN</v>
      </c>
      <c r="B37" s="27" t="s">
        <v>263</v>
      </c>
      <c r="C37" s="11">
        <f>SUMIF(Calculations!G:G,B37,Calculations!L:L)</f>
        <v>860.2</v>
      </c>
      <c r="D37" s="11" t="str">
        <f>IF(Table8[[#This Row],[Rate Increase?]]="Yes","",(VLOOKUP(B37,Calculations!G:K,5,0)*100)&amp;"% of "&amp;DOLLAR(SUMIF(Calculations!G:G,B37,Calculations!F:F),2)&amp;" "&amp;B37)</f>
        <v>5% of $17,204.09 ROCKLIN</v>
      </c>
      <c r="E37" s="11">
        <f>SUMIF(Calculations!G:G,B37,Calculations!J:J)</f>
        <v>344.08000000000004</v>
      </c>
      <c r="F37" t="str">
        <f>IF(Table8[[#This Row],[Location]]="Belmont Market",1,IF(Table8[[#This Row],[Location]]="Country Club Centre",1,IF(Table8[[#This Row],[Location]]="Naval Air Station Norfolk",0.5,2)))&amp;"% of "&amp;DOLLAR(SUMIF(Calculations!G:G,B37,Calculations!F:F),2)&amp;" "&amp;B37</f>
        <v>2% of $17,204.09 ROCKLIN</v>
      </c>
      <c r="G37" s="11" t="str">
        <f>IF((SUMIF(Calculations!$G:$G,Table8[[#This Row],[Location]],Calculations!$K:$K)/COUNTIF(Calculations!$G:$G,Table8[[#This Row],[Location]]))&lt;&gt;VLOOKUP(Table8[[#This Row],[Location]],Calculations!G:M,5,0),"Yes","")</f>
        <v/>
      </c>
      <c r="H37" s="11">
        <f>Table8[[#This Row],[CONTINUINGFEE - Net Value]]+Table8[[#This Row],[MARKETINGFEE - Net Value]]</f>
        <v>1204.2800000000002</v>
      </c>
    </row>
    <row r="38" spans="1:9" s="11" customFormat="1" hidden="1" x14ac:dyDescent="0.25">
      <c r="A38" t="str">
        <f>VLOOKUP(B38,'Rates from Tracker'!B:C,2,0)</f>
        <v>Best Pizza LLC</v>
      </c>
      <c r="B38" s="27" t="s">
        <v>265</v>
      </c>
      <c r="C38" s="11">
        <f>SUMIF(Calculations!G:G,B38,Calculations!L:L)</f>
        <v>1259.32</v>
      </c>
      <c r="D38" s="11" t="str">
        <f>IF(Table8[[#This Row],[Rate Increase?]]="Yes","",(VLOOKUP(B38,Calculations!G:K,5,0)*100)&amp;"% of "&amp;DOLLAR(SUMIF(Calculations!G:G,B38,Calculations!F:F),2)&amp;" "&amp;B38)</f>
        <v>5% of $25,186.63 S Academy Highlands</v>
      </c>
      <c r="E38" s="11">
        <f>SUMIF(Calculations!G:G,B38,Calculations!J:J)</f>
        <v>503.72999999999996</v>
      </c>
      <c r="F38" t="str">
        <f>IF(Table8[[#This Row],[Location]]="Belmont Market",1,IF(Table8[[#This Row],[Location]]="Country Club Centre",1,IF(Table8[[#This Row],[Location]]="Naval Air Station Norfolk",0.5,2)))&amp;"% of "&amp;DOLLAR(SUMIF(Calculations!G:G,B38,Calculations!F:F),2)&amp;" "&amp;B38</f>
        <v>2% of $25,186.63 S Academy Highlands</v>
      </c>
      <c r="G38" s="11" t="str">
        <f>IF((SUMIF(Calculations!$G:$G,Table8[[#This Row],[Location]],Calculations!$K:$K)/COUNTIF(Calculations!$G:$G,Table8[[#This Row],[Location]]))&lt;&gt;VLOOKUP(Table8[[#This Row],[Location]],Calculations!G:M,5,0),"Yes","")</f>
        <v/>
      </c>
      <c r="H38" s="11">
        <f>Table8[[#This Row],[CONTINUINGFEE - Net Value]]+Table8[[#This Row],[MARKETINGFEE - Net Value]]</f>
        <v>1763.05</v>
      </c>
    </row>
    <row r="39" spans="1:9" s="11" customFormat="1" hidden="1" x14ac:dyDescent="0.25">
      <c r="A39" t="str">
        <f>VLOOKUP(B39,'Rates from Tracker'!B:C,2,0)</f>
        <v>Paceline Partners, LLC (OH)</v>
      </c>
      <c r="B39" s="27" t="s">
        <v>138</v>
      </c>
      <c r="C39" s="11">
        <f>SUMIF(Calculations!G:G,B39,Calculations!L:L)</f>
        <v>0</v>
      </c>
      <c r="D39" s="11" t="e">
        <f>IF(Table8[[#This Row],[Rate Increase?]]="Yes","",(VLOOKUP(B39,Calculations!G:K,5,0)*100)&amp;"% of "&amp;DOLLAR(SUMIF(Calculations!G:G,B39,Calculations!F:F),2)&amp;" "&amp;B39)</f>
        <v>#DIV/0!</v>
      </c>
      <c r="E39" s="11">
        <f>SUMIF(Calculations!G:G,B39,Calculations!J:J)</f>
        <v>0</v>
      </c>
      <c r="F39" t="str">
        <f>IF(Table8[[#This Row],[Location]]="Belmont Market",1,IF(Table8[[#This Row],[Location]]="Country Club Centre",1,IF(Table8[[#This Row],[Location]]="Naval Air Station Norfolk",0.5,2)))&amp;"% of "&amp;DOLLAR(SUMIF(Calculations!G:G,B39,Calculations!F:F),2)&amp;" "&amp;B39</f>
        <v>2% of $0.00 Sawmill Road</v>
      </c>
      <c r="G39" s="11" t="e">
        <f>IF((SUMIF(Calculations!$G:$G,Table8[[#This Row],[Location]],Calculations!$K:$K)/COUNTIF(Calculations!$G:$G,Table8[[#This Row],[Location]]))&lt;&gt;VLOOKUP(Table8[[#This Row],[Location]],Calculations!G:M,5,0),"Yes","")</f>
        <v>#DIV/0!</v>
      </c>
      <c r="H39" s="11">
        <f>Table8[[#This Row],[CONTINUINGFEE - Net Value]]+Table8[[#This Row],[MARKETINGFEE - Net Value]]</f>
        <v>0</v>
      </c>
      <c r="I39" s="11" t="s">
        <v>536</v>
      </c>
    </row>
    <row r="40" spans="1:9" s="11" customFormat="1" hidden="1" x14ac:dyDescent="0.25">
      <c r="A40" t="str">
        <f>VLOOKUP(B40,'Rates from Tracker'!B:C,2,0)</f>
        <v>Rolling Dough LLC</v>
      </c>
      <c r="B40" s="27" t="s">
        <v>34</v>
      </c>
      <c r="C40" s="11">
        <f>SUMIF(Calculations!G:G,B40,Calculations!L:L)</f>
        <v>0</v>
      </c>
      <c r="D40" s="11" t="e">
        <f>IF(Table8[[#This Row],[Rate Increase?]]="Yes","",(VLOOKUP(B40,Calculations!G:K,5,0)*100)&amp;"% of "&amp;DOLLAR(SUMIF(Calculations!G:G,B40,Calculations!F:F),2)&amp;" "&amp;B40)</f>
        <v>#DIV/0!</v>
      </c>
      <c r="E40" s="11">
        <f>SUMIF(Calculations!G:G,B40,Calculations!J:J)</f>
        <v>0</v>
      </c>
      <c r="F40" t="str">
        <f>IF(Table8[[#This Row],[Location]]="Belmont Market",1,IF(Table8[[#This Row],[Location]]="Country Club Centre",1,IF(Table8[[#This Row],[Location]]="Naval Air Station Norfolk",0.5,2)))&amp;"% of "&amp;DOLLAR(SUMIF(Calculations!G:G,B40,Calculations!F:F),2)&amp;" "&amp;B40</f>
        <v>2% of $0.00 South Myrtle Beach</v>
      </c>
      <c r="G40" s="11" t="e">
        <f>IF((SUMIF(Calculations!$G:$G,Table8[[#This Row],[Location]],Calculations!$K:$K)/COUNTIF(Calculations!$G:$G,Table8[[#This Row],[Location]]))&lt;&gt;VLOOKUP(Table8[[#This Row],[Location]],Calculations!G:M,5,0),"Yes","")</f>
        <v>#DIV/0!</v>
      </c>
      <c r="H40" s="11">
        <f>Table8[[#This Row],[CONTINUINGFEE - Net Value]]+Table8[[#This Row],[MARKETINGFEE - Net Value]]</f>
        <v>0</v>
      </c>
    </row>
    <row r="41" spans="1:9" s="11" customFormat="1" hidden="1" x14ac:dyDescent="0.25">
      <c r="A41" t="str">
        <f>VLOOKUP(B41,'Rates from Tracker'!B:C,2,0)</f>
        <v>Paceline Partners, LLC (KS/MO)</v>
      </c>
      <c r="B41" s="27" t="s">
        <v>275</v>
      </c>
      <c r="C41" s="11">
        <f>SUMIF(Calculations!G:G,B41,Calculations!L:L)</f>
        <v>0</v>
      </c>
      <c r="D41" s="11" t="e">
        <f>IF(Table8[[#This Row],[Rate Increase?]]="Yes","",(VLOOKUP(B41,Calculations!G:K,5,0)*100)&amp;"% of "&amp;DOLLAR(SUMIF(Calculations!G:G,B41,Calculations!F:F),2)&amp;" "&amp;B41)</f>
        <v>#DIV/0!</v>
      </c>
      <c r="E41" s="11">
        <f>SUMIF(Calculations!G:G,B41,Calculations!J:J)</f>
        <v>0</v>
      </c>
      <c r="F41" t="str">
        <f>IF(Table8[[#This Row],[Location]]="Belmont Market",1,IF(Table8[[#This Row],[Location]]="Country Club Centre",1,IF(Table8[[#This Row],[Location]]="Naval Air Station Norfolk",0.5,2)))&amp;"% of "&amp;DOLLAR(SUMIF(Calculations!G:G,B41,Calculations!F:F),2)&amp;" "&amp;B41</f>
        <v>2% of $0.00 Olathe</v>
      </c>
      <c r="G41" s="11" t="e">
        <f>IF((SUMIF(Calculations!$G:$G,Table8[[#This Row],[Location]],Calculations!$K:$K)/COUNTIF(Calculations!$G:$G,Table8[[#This Row],[Location]]))&lt;&gt;VLOOKUP(Table8[[#This Row],[Location]],Calculations!G:M,5,0),"Yes","")</f>
        <v>#DIV/0!</v>
      </c>
      <c r="H41" s="11">
        <f>Table8[[#This Row],[CONTINUINGFEE - Net Value]]+Table8[[#This Row],[MARKETINGFEE - Net Value]]</f>
        <v>0</v>
      </c>
      <c r="I41" s="11" t="s">
        <v>536</v>
      </c>
    </row>
    <row r="42" spans="1:9" s="11" customFormat="1" hidden="1" x14ac:dyDescent="0.25">
      <c r="A42" t="str">
        <f>VLOOKUP(B42,'Rates from Tracker'!B:C,2,0)</f>
        <v>Rolling Dough LLC</v>
      </c>
      <c r="B42" s="27" t="s">
        <v>132</v>
      </c>
      <c r="C42" s="11">
        <f>SUMIF(Calculations!G:G,B42,Calculations!L:L)</f>
        <v>0</v>
      </c>
      <c r="D42" s="11" t="e">
        <f>IF(Table8[[#This Row],[Rate Increase?]]="Yes","",(VLOOKUP(B42,Calculations!G:K,5,0)*100)&amp;"% of "&amp;DOLLAR(SUMIF(Calculations!G:G,B42,Calculations!F:F),2)&amp;" "&amp;B42)</f>
        <v>#DIV/0!</v>
      </c>
      <c r="E42" s="11">
        <f>SUMIF(Calculations!G:G,B42,Calculations!J:J)</f>
        <v>0</v>
      </c>
      <c r="F42" t="str">
        <f>IF(Table8[[#This Row],[Location]]="Belmont Market",1,IF(Table8[[#This Row],[Location]]="Country Club Centre",1,IF(Table8[[#This Row],[Location]]="Naval Air Station Norfolk",0.5,2)))&amp;"% of "&amp;DOLLAR(SUMIF(Calculations!G:G,B42,Calculations!F:F),2)&amp;" "&amp;B42</f>
        <v>2% of $0.00 Carolina Forest</v>
      </c>
      <c r="G42" s="11" t="e">
        <f>IF((SUMIF(Calculations!$G:$G,Table8[[#This Row],[Location]],Calculations!$K:$K)/COUNTIF(Calculations!$G:$G,Table8[[#This Row],[Location]]))&lt;&gt;VLOOKUP(Table8[[#This Row],[Location]],Calculations!G:M,5,0),"Yes","")</f>
        <v>#DIV/0!</v>
      </c>
      <c r="H42" s="11">
        <f>Table8[[#This Row],[CONTINUINGFEE - Net Value]]+Table8[[#This Row],[MARKETINGFEE - Net Value]]</f>
        <v>0</v>
      </c>
    </row>
    <row r="43" spans="1:9" s="11" customFormat="1" hidden="1" x14ac:dyDescent="0.25">
      <c r="A43" t="str">
        <f>VLOOKUP(B43,'Rates from Tracker'!B:C,2,0)</f>
        <v>Cool Dough Development, LLC</v>
      </c>
      <c r="B43" s="27" t="s">
        <v>161</v>
      </c>
      <c r="C43" s="11">
        <f>SUMIF(Calculations!G:G,B43,Calculations!L:L)</f>
        <v>0</v>
      </c>
      <c r="D43" s="11" t="e">
        <f>IF(Table8[[#This Row],[Rate Increase?]]="Yes","",(VLOOKUP(B43,Calculations!G:K,5,0)*100)&amp;"% of "&amp;DOLLAR(SUMIF(Calculations!G:G,B43,Calculations!F:F),2)&amp;" "&amp;B43)</f>
        <v>#DIV/0!</v>
      </c>
      <c r="E43" s="11">
        <f>SUMIF(Calculations!G:G,B43,Calculations!J:J)</f>
        <v>0</v>
      </c>
      <c r="F43" t="str">
        <f>IF(Table8[[#This Row],[Location]]="Belmont Market",1,IF(Table8[[#This Row],[Location]]="Country Club Centre",1,IF(Table8[[#This Row],[Location]]="Naval Air Station Norfolk",0.5,2)))&amp;"% of "&amp;DOLLAR(SUMIF(Calculations!G:G,B43,Calculations!F:F),2)&amp;" "&amp;B43</f>
        <v>2% of $0.00 West Chester #3</v>
      </c>
      <c r="G43" s="11" t="e">
        <f>IF((SUMIF(Calculations!$G:$G,Table8[[#This Row],[Location]],Calculations!$K:$K)/COUNTIF(Calculations!$G:$G,Table8[[#This Row],[Location]]))&lt;&gt;VLOOKUP(Table8[[#This Row],[Location]],Calculations!G:M,5,0),"Yes","")</f>
        <v>#DIV/0!</v>
      </c>
      <c r="H43" s="11">
        <f>Table8[[#This Row],[CONTINUINGFEE - Net Value]]+Table8[[#This Row],[MARKETINGFEE - Net Value]]</f>
        <v>0</v>
      </c>
      <c r="I43" s="11" t="s">
        <v>393</v>
      </c>
    </row>
    <row r="44" spans="1:9" s="11" customFormat="1" hidden="1" x14ac:dyDescent="0.25">
      <c r="A44" t="str">
        <f>VLOOKUP(B44,'Rates from Tracker'!B:C,2,0)</f>
        <v>Best Pizza LLC</v>
      </c>
      <c r="B44" s="27" t="s">
        <v>258</v>
      </c>
      <c r="C44" s="11">
        <f>SUMIF(Calculations!G:G,B44,Calculations!L:L)</f>
        <v>1616.21</v>
      </c>
      <c r="D44" s="11" t="str">
        <f>IF(Table8[[#This Row],[Rate Increase?]]="Yes","",(VLOOKUP(B44,Calculations!G:K,5,0)*100)&amp;"% of "&amp;DOLLAR(SUMIF(Calculations!G:G,B44,Calculations!F:F),2)&amp;" "&amp;B44)</f>
        <v>5% of $32,324.13 Westminster Promenade</v>
      </c>
      <c r="E44" s="11">
        <f>SUMIF(Calculations!G:G,B44,Calculations!J:J)</f>
        <v>646.49</v>
      </c>
      <c r="F44" t="str">
        <f>IF(Table8[[#This Row],[Location]]="Belmont Market",1,IF(Table8[[#This Row],[Location]]="Country Club Centre",1,IF(Table8[[#This Row],[Location]]="Naval Air Station Norfolk",0.5,2)))&amp;"% of "&amp;DOLLAR(SUMIF(Calculations!G:G,B44,Calculations!F:F),2)&amp;" "&amp;B44</f>
        <v>2% of $32,324.13 Westminster Promenade</v>
      </c>
      <c r="G44" s="11" t="str">
        <f>IF((SUMIF(Calculations!$G:$G,Table8[[#This Row],[Location]],Calculations!$K:$K)/COUNTIF(Calculations!$G:$G,Table8[[#This Row],[Location]]))&lt;&gt;VLOOKUP(Table8[[#This Row],[Location]],Calculations!G:M,5,0),"Yes","")</f>
        <v/>
      </c>
      <c r="H44" s="11">
        <f>Table8[[#This Row],[CONTINUINGFEE - Net Value]]+Table8[[#This Row],[MARKETINGFEE - Net Value]]</f>
        <v>2262.6999999999998</v>
      </c>
    </row>
    <row r="45" spans="1:9" s="11" customFormat="1" hidden="1" x14ac:dyDescent="0.25">
      <c r="A45" t="str">
        <f>VLOOKUP(B45,'Rates from Tracker'!B:C,2,0)</f>
        <v>Rolling Dough LLC</v>
      </c>
      <c r="B45" s="27" t="s">
        <v>36</v>
      </c>
      <c r="C45" s="11">
        <f>SUMIF(Calculations!G:G,B45,Calculations!L:L)</f>
        <v>769.58999999999992</v>
      </c>
      <c r="D45" s="11" t="str">
        <f>IF(Table8[[#This Row],[Rate Increase?]]="Yes","",(VLOOKUP(B45,Calculations!G:K,5,0)*100)&amp;"% of "&amp;DOLLAR(SUMIF(Calculations!G:G,B45,Calculations!F:F),2)&amp;" "&amp;B45)</f>
        <v>5% of $15,391.73 Westwood Plaza</v>
      </c>
      <c r="E45" s="11">
        <f>SUMIF(Calculations!G:G,B45,Calculations!J:J)</f>
        <v>307.83</v>
      </c>
      <c r="F45" t="str">
        <f>IF(Table8[[#This Row],[Location]]="Belmont Market",1,IF(Table8[[#This Row],[Location]]="Country Club Centre",1,IF(Table8[[#This Row],[Location]]="Naval Air Station Norfolk",0.5,2)))&amp;"% of "&amp;DOLLAR(SUMIF(Calculations!G:G,B45,Calculations!F:F),2)&amp;" "&amp;B45</f>
        <v>2% of $15,391.73 Westwood Plaza</v>
      </c>
      <c r="G45" s="11" t="str">
        <f>IF((SUMIF(Calculations!$G:$G,Table8[[#This Row],[Location]],Calculations!$K:$K)/COUNTIF(Calculations!$G:$G,Table8[[#This Row],[Location]]))&lt;&gt;VLOOKUP(Table8[[#This Row],[Location]],Calculations!G:M,5,0),"Yes","")</f>
        <v/>
      </c>
      <c r="H45" s="11">
        <f>Table8[[#This Row],[CONTINUINGFEE - Net Value]]+Table8[[#This Row],[MARKETINGFEE - Net Value]]</f>
        <v>1077.4199999999998</v>
      </c>
    </row>
    <row r="46" spans="1:9" s="11" customFormat="1" hidden="1" x14ac:dyDescent="0.25">
      <c r="A46" t="str">
        <f>VLOOKUP(B46,'Rates from Tracker'!B:C,2,0)</f>
        <v>TSFR Pizza LLC</v>
      </c>
      <c r="B46" s="27" t="s">
        <v>37</v>
      </c>
      <c r="C46" s="11">
        <f>SUMIF(Calculations!G:G,B46,Calculations!L:L)</f>
        <v>0</v>
      </c>
      <c r="D46" s="11" t="e">
        <f>IF(Table8[[#This Row],[Rate Increase?]]="Yes","",(VLOOKUP(B46,Calculations!G:K,5,0)*100)&amp;"% of "&amp;DOLLAR(SUMIF(Calculations!G:G,B46,Calculations!F:F),2)&amp;" "&amp;B46)</f>
        <v>#DIV/0!</v>
      </c>
      <c r="E46" s="11">
        <f>SUMIF(Calculations!G:G,B46,Calculations!J:J)</f>
        <v>0</v>
      </c>
      <c r="F46" t="str">
        <f>IF(Table8[[#This Row],[Location]]="Belmont Market",1,IF(Table8[[#This Row],[Location]]="Country Club Centre",1,IF(Table8[[#This Row],[Location]]="Naval Air Station Norfolk",0.5,2)))&amp;"% of "&amp;DOLLAR(SUMIF(Calculations!G:G,B46,Calculations!F:F),2)&amp;" "&amp;B46</f>
        <v>2% of $0.00 Woodhaven</v>
      </c>
      <c r="G46" s="11" t="e">
        <f>IF((SUMIF(Calculations!$G:$G,Table8[[#This Row],[Location]],Calculations!$K:$K)/COUNTIF(Calculations!$G:$G,Table8[[#This Row],[Location]]))&lt;&gt;VLOOKUP(Table8[[#This Row],[Location]],Calculations!G:M,5,0),"Yes","")</f>
        <v>#DIV/0!</v>
      </c>
      <c r="H46" s="11">
        <f>Table8[[#This Row],[CONTINUINGFEE - Net Value]]+Table8[[#This Row],[MARKETINGFEE - Net Value]]</f>
        <v>0</v>
      </c>
      <c r="I46" s="11" t="s">
        <v>536</v>
      </c>
    </row>
    <row r="47" spans="1:9" s="11" customFormat="1" hidden="1" x14ac:dyDescent="0.25">
      <c r="A47" t="str">
        <f>VLOOKUP(B47,'Rates from Tracker'!B:C,2,0)</f>
        <v>Rolling Dough LLC</v>
      </c>
      <c r="B47" s="27" t="s">
        <v>38</v>
      </c>
      <c r="C47" s="11">
        <f>SUMIF(Calculations!G:G,B47,Calculations!L:L)</f>
        <v>954.4</v>
      </c>
      <c r="D47" s="11" t="str">
        <f>IF(Table8[[#This Row],[Rate Increase?]]="Yes","",(VLOOKUP(B47,Calculations!G:K,5,0)*100)&amp;"% of "&amp;DOLLAR(SUMIF(Calculations!G:G,B47,Calculations!F:F),2)&amp;" "&amp;B47)</f>
        <v>5% of $19,087.62 Woodhill</v>
      </c>
      <c r="E47" s="11">
        <f>SUMIF(Calculations!G:G,B47,Calculations!J:J)</f>
        <v>381.76</v>
      </c>
      <c r="F47" t="str">
        <f>IF(Table8[[#This Row],[Location]]="Belmont Market",1,IF(Table8[[#This Row],[Location]]="Country Club Centre",1,IF(Table8[[#This Row],[Location]]="Naval Air Station Norfolk",0.5,2)))&amp;"% of "&amp;DOLLAR(SUMIF(Calculations!G:G,B47,Calculations!F:F),2)&amp;" "&amp;B47</f>
        <v>2% of $19,087.62 Woodhill</v>
      </c>
      <c r="G47" s="11" t="str">
        <f>IF((SUMIF(Calculations!$G:$G,Table8[[#This Row],[Location]],Calculations!$K:$K)/COUNTIF(Calculations!$G:$G,Table8[[#This Row],[Location]]))&lt;&gt;VLOOKUP(Table8[[#This Row],[Location]],Calculations!G:M,5,0),"Yes","")</f>
        <v/>
      </c>
      <c r="H47" s="11">
        <f>Table8[[#This Row],[CONTINUINGFEE - Net Value]]+Table8[[#This Row],[MARKETINGFEE - Net Value]]</f>
        <v>1336.1599999999999</v>
      </c>
    </row>
    <row r="48" spans="1:9" s="11" customFormat="1" hidden="1" x14ac:dyDescent="0.25">
      <c r="A48" t="str">
        <f>VLOOKUP(B48,'Rates from Tracker'!B:C,2,0)</f>
        <v>Exceed Group Woodland</v>
      </c>
      <c r="B48" s="27" t="s">
        <v>39</v>
      </c>
      <c r="C48" s="11">
        <f>SUMIF(Calculations!G:G,B48,Calculations!L:L)</f>
        <v>978.39999999999986</v>
      </c>
      <c r="D48" s="11" t="str">
        <f>IF(Table8[[#This Row],[Rate Increase?]]="Yes","",(VLOOKUP(B48,Calculations!G:K,5,0)*100)&amp;"% of "&amp;DOLLAR(SUMIF(Calculations!G:G,B48,Calculations!F:F),2)&amp;" "&amp;B48)</f>
        <v>5% of $19,567.78 Woodland</v>
      </c>
      <c r="E48" s="11">
        <f>SUMIF(Calculations!G:G,B48,Calculations!J:J)</f>
        <v>391.36</v>
      </c>
      <c r="F48" t="str">
        <f>IF(Table8[[#This Row],[Location]]="Belmont Market",1,IF(Table8[[#This Row],[Location]]="Country Club Centre",1,IF(Table8[[#This Row],[Location]]="Naval Air Station Norfolk",0.5,2)))&amp;"% of "&amp;DOLLAR(SUMIF(Calculations!G:G,B48,Calculations!F:F),2)&amp;" "&amp;B48</f>
        <v>2% of $19,567.78 Woodland</v>
      </c>
      <c r="G48" s="11" t="str">
        <f>IF((SUMIF(Calculations!$G:$G,Table8[[#This Row],[Location]],Calculations!$K:$K)/COUNTIF(Calculations!$G:$G,Table8[[#This Row],[Location]]))&lt;&gt;VLOOKUP(Table8[[#This Row],[Location]],Calculations!G:M,5,0),"Yes","")</f>
        <v/>
      </c>
      <c r="H48" s="11">
        <f>Table8[[#This Row],[CONTINUINGFEE - Net Value]]+Table8[[#This Row],[MARKETINGFEE - Net Value]]</f>
        <v>1369.7599999999998</v>
      </c>
    </row>
    <row r="49" spans="1:9" s="11" customFormat="1" hidden="1" x14ac:dyDescent="0.25">
      <c r="A49" t="str">
        <f>VLOOKUP(B49,'Rates from Tracker'!B:C,2,0)</f>
        <v>Paceline Partners, LLC (OH)</v>
      </c>
      <c r="B49" s="27" t="s">
        <v>277</v>
      </c>
      <c r="C49" s="11">
        <f>SUMIF(Calculations!G:G,B49,Calculations!L:L)</f>
        <v>0</v>
      </c>
      <c r="D49" s="11" t="e">
        <f>IF(Table8[[#This Row],[Rate Increase?]]="Yes","",(VLOOKUP(B49,Calculations!G:K,5,0)*100)&amp;"% of "&amp;DOLLAR(SUMIF(Calculations!G:G,B49,Calculations!F:F),2)&amp;" "&amp;B49)</f>
        <v>#DIV/0!</v>
      </c>
      <c r="E49" s="11">
        <f>SUMIF(Calculations!G:G,B49,Calculations!J:J)</f>
        <v>0</v>
      </c>
      <c r="F49" t="str">
        <f>IF(Table8[[#This Row],[Location]]="Belmont Market",1,IF(Table8[[#This Row],[Location]]="Country Club Centre",1,IF(Table8[[#This Row],[Location]]="Naval Air Station Norfolk",0.5,2)))&amp;"% of "&amp;DOLLAR(SUMIF(Calculations!G:G,B49,Calculations!F:F),2)&amp;" "&amp;B49</f>
        <v>2% of $0.00 Pickerington</v>
      </c>
      <c r="G49" s="11" t="e">
        <f>IF((SUMIF(Calculations!$G:$G,Table8[[#This Row],[Location]],Calculations!$K:$K)/COUNTIF(Calculations!$G:$G,Table8[[#This Row],[Location]]))&lt;&gt;VLOOKUP(Table8[[#This Row],[Location]],Calculations!G:M,5,0),"Yes","")</f>
        <v>#DIV/0!</v>
      </c>
      <c r="H49" s="11">
        <f>Table8[[#This Row],[CONTINUINGFEE - Net Value]]+Table8[[#This Row],[MARKETINGFEE - Net Value]]</f>
        <v>0</v>
      </c>
      <c r="I49" s="11" t="s">
        <v>536</v>
      </c>
    </row>
    <row r="50" spans="1:9" s="11" customFormat="1" hidden="1" x14ac:dyDescent="0.25">
      <c r="A50" t="str">
        <f>VLOOKUP(B50,'Rates from Tracker'!B:C,2,0)</f>
        <v>Best Pizza LLC</v>
      </c>
      <c r="B50" s="27" t="s">
        <v>280</v>
      </c>
      <c r="C50" s="11">
        <f>SUMIF(Calculations!G:G,B50,Calculations!L:L)</f>
        <v>1473.09</v>
      </c>
      <c r="D50" s="11" t="str">
        <f>IF(Table8[[#This Row],[Rate Increase?]]="Yes","",(VLOOKUP(B50,Calculations!G:K,5,0)*100)&amp;"% of "&amp;DOLLAR(SUMIF(Calculations!G:G,B50,Calculations!F:F),2)&amp;" "&amp;B50)</f>
        <v>5% of $29,461.80 Highlands Ranch</v>
      </c>
      <c r="E50" s="11">
        <f>SUMIF(Calculations!G:G,B50,Calculations!J:J)</f>
        <v>589.25</v>
      </c>
      <c r="F50" t="str">
        <f>IF(Table8[[#This Row],[Location]]="Belmont Market",1,IF(Table8[[#This Row],[Location]]="Country Club Centre",1,IF(Table8[[#This Row],[Location]]="Naval Air Station Norfolk",0.5,2)))&amp;"% of "&amp;DOLLAR(SUMIF(Calculations!G:G,B50,Calculations!F:F),2)&amp;" "&amp;B50</f>
        <v>2% of $29,461.80 Highlands Ranch</v>
      </c>
      <c r="G50" s="11" t="str">
        <f>IF((SUMIF(Calculations!$G:$G,Table8[[#This Row],[Location]],Calculations!$K:$K)/COUNTIF(Calculations!$G:$G,Table8[[#This Row],[Location]]))&lt;&gt;VLOOKUP(Table8[[#This Row],[Location]],Calculations!G:M,5,0),"Yes","")</f>
        <v/>
      </c>
      <c r="H50" s="11">
        <f>Table8[[#This Row],[CONTINUINGFEE - Net Value]]+Table8[[#This Row],[MARKETINGFEE - Net Value]]</f>
        <v>2062.34</v>
      </c>
    </row>
    <row r="51" spans="1:9" s="11" customFormat="1" hidden="1" x14ac:dyDescent="0.25">
      <c r="A51" s="91" t="str">
        <f>VLOOKUP(B51,'Rates from Tracker'!B:C,2,0)</f>
        <v>DAZ9</v>
      </c>
      <c r="B51" s="27" t="s">
        <v>281</v>
      </c>
      <c r="C51" s="11">
        <f>SUMIF(Calculations!G:G,B51,Calculations!L:L)</f>
        <v>114.56</v>
      </c>
      <c r="D51" s="11" t="str">
        <f>IF(Table8[[#This Row],[Rate Increase?]]="Yes","",(VLOOKUP(B51,Calculations!G:K,5,0)*100)&amp;"% of "&amp;DOLLAR(SUMIF(Calculations!G:G,B51,Calculations!F:F),2)&amp;" "&amp;B51)</f>
        <v>1% of $11,456.24 Decatur</v>
      </c>
      <c r="E51" s="11">
        <f>SUMIF(Calculations!G:G,B51,Calculations!J:J)</f>
        <v>229.12</v>
      </c>
      <c r="F51" t="str">
        <f>IF(Table8[[#This Row],[Location]]="Belmont Market",1,IF(Table8[[#This Row],[Location]]="Country Club Centre",1,IF(Table8[[#This Row],[Location]]="Naval Air Station Norfolk",0.5,2)))&amp;"% of "&amp;DOLLAR(SUMIF(Calculations!G:G,B51,Calculations!F:F),2)&amp;" "&amp;B51</f>
        <v>2% of $11,456.24 Decatur</v>
      </c>
      <c r="H51" s="11">
        <f>Table8[[#This Row],[CONTINUINGFEE - Net Value]]+Table8[[#This Row],[MARKETINGFEE - Net Value]]</f>
        <v>343.68</v>
      </c>
    </row>
    <row r="52" spans="1:9" s="11" customFormat="1" hidden="1" x14ac:dyDescent="0.25">
      <c r="A52" t="str">
        <f>VLOOKUP(B52,'Rates from Tracker'!B:C,2,0)</f>
        <v>Paceline Partners, LLC (KS/MO)</v>
      </c>
      <c r="B52" s="27" t="s">
        <v>282</v>
      </c>
      <c r="C52" s="11">
        <f>SUMIF(Calculations!G:G,B52,Calculations!L:L)</f>
        <v>0</v>
      </c>
      <c r="D52" s="11" t="e">
        <f>IF(Table8[[#This Row],[Rate Increase?]]="Yes","",(VLOOKUP(B52,Calculations!G:K,5,0)*100)&amp;"% of "&amp;DOLLAR(SUMIF(Calculations!G:G,B52,Calculations!F:F),2)&amp;" "&amp;B52)</f>
        <v>#DIV/0!</v>
      </c>
      <c r="E52" s="11">
        <f>SUMIF(Calculations!G:G,B52,Calculations!J:J)</f>
        <v>0</v>
      </c>
      <c r="F52" t="str">
        <f>IF(Table8[[#This Row],[Location]]="Belmont Market",1,IF(Table8[[#This Row],[Location]]="Country Club Centre",1,IF(Table8[[#This Row],[Location]]="Naval Air Station Norfolk",0.5,2)))&amp;"% of "&amp;DOLLAR(SUMIF(Calculations!G:G,B52,Calculations!F:F),2)&amp;" "&amp;B52</f>
        <v>2% of $0.00 Antioch Crossing</v>
      </c>
      <c r="G52" s="11" t="e">
        <f>IF((SUMIF(Calculations!$G:$G,Table8[[#This Row],[Location]],Calculations!$K:$K)/COUNTIF(Calculations!$G:$G,Table8[[#This Row],[Location]]))&lt;&gt;VLOOKUP(Table8[[#This Row],[Location]],Calculations!G:M,5,0),"Yes","")</f>
        <v>#DIV/0!</v>
      </c>
      <c r="H52" s="11">
        <f>Table8[[#This Row],[CONTINUINGFEE - Net Value]]+Table8[[#This Row],[MARKETINGFEE - Net Value]]</f>
        <v>0</v>
      </c>
      <c r="I52" s="11" t="s">
        <v>536</v>
      </c>
    </row>
    <row r="53" spans="1:9" s="11" customFormat="1" hidden="1" x14ac:dyDescent="0.25">
      <c r="A53" t="str">
        <f>VLOOKUP(B53,'Rates from Tracker'!B:C,2,0)</f>
        <v>Best Pizza LLC</v>
      </c>
      <c r="B53" s="27" t="s">
        <v>284</v>
      </c>
      <c r="C53" s="11">
        <f>SUMIF(Calculations!G:G,B53,Calculations!L:L)</f>
        <v>880.67000000000007</v>
      </c>
      <c r="D53" s="11" t="str">
        <f>IF(Table8[[#This Row],[Rate Increase?]]="Yes","",(VLOOKUP(B53,Calculations!G:K,5,0)*100)&amp;"% of "&amp;DOLLAR(SUMIF(Calculations!G:G,B53,Calculations!F:F),2)&amp;" "&amp;B53)</f>
        <v>5% of $17,613.37 Diamond Circle</v>
      </c>
      <c r="E53" s="11">
        <f>SUMIF(Calculations!G:G,B53,Calculations!J:J)</f>
        <v>352.28</v>
      </c>
      <c r="F53" t="str">
        <f>IF(Table8[[#This Row],[Location]]="Belmont Market",1,IF(Table8[[#This Row],[Location]]="Country Club Centre",1,IF(Table8[[#This Row],[Location]]="Naval Air Station Norfolk",0.5,2)))&amp;"% of "&amp;DOLLAR(SUMIF(Calculations!G:G,B53,Calculations!F:F),2)&amp;" "&amp;B53</f>
        <v>2% of $17,613.37 Diamond Circle</v>
      </c>
      <c r="G53" s="11" t="str">
        <f>IF((SUMIF(Calculations!$G:$G,Table8[[#This Row],[Location]],Calculations!$K:$K)/COUNTIF(Calculations!$G:$G,Table8[[#This Row],[Location]]))&lt;&gt;VLOOKUP(Table8[[#This Row],[Location]],Calculations!G:M,5,0),"Yes","")</f>
        <v/>
      </c>
      <c r="H53" s="11">
        <f>Table8[[#This Row],[CONTINUINGFEE - Net Value]]+Table8[[#This Row],[MARKETINGFEE - Net Value]]</f>
        <v>1232.95</v>
      </c>
    </row>
    <row r="54" spans="1:9" s="11" customFormat="1" hidden="1" x14ac:dyDescent="0.25">
      <c r="A54" t="str">
        <f>VLOOKUP(B54,'Rates from Tracker'!B:C,2,0)</f>
        <v>Best Pizza LLC</v>
      </c>
      <c r="B54" s="27" t="s">
        <v>288</v>
      </c>
      <c r="C54" s="11">
        <f>SUMIF(Calculations!G:G,B54,Calculations!L:L)</f>
        <v>1477.6499999999999</v>
      </c>
      <c r="D54" s="11" t="str">
        <f>IF(Table8[[#This Row],[Rate Increase?]]="Yes","",(VLOOKUP(B54,Calculations!G:K,5,0)*100)&amp;"% of "&amp;DOLLAR(SUMIF(Calculations!G:G,B54,Calculations!F:F),2)&amp;" "&amp;B54)</f>
        <v>5% of $29,553.11 Polaris Pointe</v>
      </c>
      <c r="E54" s="11">
        <f>SUMIF(Calculations!G:G,B54,Calculations!J:J)</f>
        <v>591.06999999999994</v>
      </c>
      <c r="F54" t="str">
        <f>IF(Table8[[#This Row],[Location]]="Belmont Market",1,IF(Table8[[#This Row],[Location]]="Country Club Centre",1,IF(Table8[[#This Row],[Location]]="Naval Air Station Norfolk",0.5,2)))&amp;"% of "&amp;DOLLAR(SUMIF(Calculations!G:G,B54,Calculations!F:F),2)&amp;" "&amp;B54</f>
        <v>2% of $29,553.11 Polaris Pointe</v>
      </c>
      <c r="G54" s="11" t="str">
        <f>IF((SUMIF(Calculations!$G:$G,Table8[[#This Row],[Location]],Calculations!$K:$K)/COUNTIF(Calculations!$G:$G,Table8[[#This Row],[Location]]))&lt;&gt;VLOOKUP(Table8[[#This Row],[Location]],Calculations!G:M,5,0),"Yes","")</f>
        <v/>
      </c>
      <c r="H54" s="11">
        <f>Table8[[#This Row],[CONTINUINGFEE - Net Value]]+Table8[[#This Row],[MARKETINGFEE - Net Value]]</f>
        <v>2068.7199999999998</v>
      </c>
    </row>
    <row r="55" spans="1:9" s="11" customFormat="1" hidden="1" x14ac:dyDescent="0.25">
      <c r="A55" t="str">
        <f>VLOOKUP(B55,'Rates from Tracker'!B:C,2,0)</f>
        <v>Best Pizza LLC</v>
      </c>
      <c r="B55" s="27" t="s">
        <v>290</v>
      </c>
      <c r="C55" s="11">
        <f>SUMIF(Calculations!G:G,B55,Calculations!L:L)</f>
        <v>1167.3400000000001</v>
      </c>
      <c r="D55" s="11" t="str">
        <f>IF(Table8[[#This Row],[Rate Increase?]]="Yes","",(VLOOKUP(B55,Calculations!G:K,5,0)*100)&amp;"% of "&amp;DOLLAR(SUMIF(Calculations!G:G,B55,Calculations!F:F),2)&amp;" "&amp;B55)</f>
        <v>5% of $23,346.32 Northfield Commons</v>
      </c>
      <c r="E55" s="11">
        <f>SUMIF(Calculations!G:G,B55,Calculations!J:J)</f>
        <v>466.93000000000006</v>
      </c>
      <c r="F55" t="str">
        <f>IF(Table8[[#This Row],[Location]]="Belmont Market",1,IF(Table8[[#This Row],[Location]]="Country Club Centre",1,IF(Table8[[#This Row],[Location]]="Naval Air Station Norfolk",0.5,2)))&amp;"% of "&amp;DOLLAR(SUMIF(Calculations!G:G,B55,Calculations!F:F),2)&amp;" "&amp;B55</f>
        <v>2% of $23,346.32 Northfield Commons</v>
      </c>
      <c r="G55" s="11" t="str">
        <f>IF((SUMIF(Calculations!$G:$G,Table8[[#This Row],[Location]],Calculations!$K:$K)/COUNTIF(Calculations!$G:$G,Table8[[#This Row],[Location]]))&lt;&gt;VLOOKUP(Table8[[#This Row],[Location]],Calculations!G:M,5,0),"Yes","")</f>
        <v/>
      </c>
      <c r="H55" s="11">
        <f>Table8[[#This Row],[CONTINUINGFEE - Net Value]]+Table8[[#This Row],[MARKETINGFEE - Net Value]]</f>
        <v>1634.2700000000002</v>
      </c>
    </row>
    <row r="56" spans="1:9" s="11" customFormat="1" hidden="1" x14ac:dyDescent="0.25">
      <c r="A56" t="str">
        <f>VLOOKUP(B56,'Rates from Tracker'!B:C,2,0)</f>
        <v>Paceline Partners, LLC (OH)</v>
      </c>
      <c r="B56" s="27" t="s">
        <v>291</v>
      </c>
      <c r="C56" s="11">
        <f>SUMIF(Calculations!G:G,B56,Calculations!L:L)</f>
        <v>0</v>
      </c>
      <c r="D56" s="11" t="e">
        <f>IF(Table8[[#This Row],[Rate Increase?]]="Yes","",(VLOOKUP(B56,Calculations!G:K,5,0)*100)&amp;"% of "&amp;DOLLAR(SUMIF(Calculations!G:G,B56,Calculations!F:F),2)&amp;" "&amp;B56)</f>
        <v>#DIV/0!</v>
      </c>
      <c r="E56" s="11">
        <f>SUMIF(Calculations!G:G,B56,Calculations!J:J)</f>
        <v>0</v>
      </c>
      <c r="F56" t="str">
        <f>IF(Table8[[#This Row],[Location]]="Belmont Market",1,IF(Table8[[#This Row],[Location]]="Country Club Centre",1,IF(Table8[[#This Row],[Location]]="Naval Air Station Norfolk",0.5,2)))&amp;"% of "&amp;DOLLAR(SUMIF(Calculations!G:G,B56,Calculations!F:F),2)&amp;" "&amp;B56</f>
        <v>2% of $0.00 Keystone</v>
      </c>
      <c r="G56" s="11" t="e">
        <f>IF((SUMIF(Calculations!$G:$G,Table8[[#This Row],[Location]],Calculations!$K:$K)/COUNTIF(Calculations!$G:$G,Table8[[#This Row],[Location]]))&lt;&gt;VLOOKUP(Table8[[#This Row],[Location]],Calculations!G:M,5,0),"Yes","")</f>
        <v>#DIV/0!</v>
      </c>
      <c r="H56" s="11">
        <f>Table8[[#This Row],[CONTINUINGFEE - Net Value]]+Table8[[#This Row],[MARKETINGFEE - Net Value]]</f>
        <v>0</v>
      </c>
      <c r="I56" s="11" t="s">
        <v>536</v>
      </c>
    </row>
    <row r="57" spans="1:9" s="11" customFormat="1" hidden="1" x14ac:dyDescent="0.25">
      <c r="A57" t="str">
        <f>VLOOKUP(B57,'Rates from Tracker'!B:C,2,0)</f>
        <v>Exceed Group Rancho Cordova</v>
      </c>
      <c r="B57" s="27" t="s">
        <v>329</v>
      </c>
      <c r="C57" s="11">
        <f>SUMIF(Calculations!G:G,B57,Calculations!L:L)</f>
        <v>728.81999999999994</v>
      </c>
      <c r="D57" s="11" t="str">
        <f>IF(Table8[[#This Row],[Rate Increase?]]="Yes","",(VLOOKUP(B57,Calculations!G:K,5,0)*100)&amp;"% of "&amp;DOLLAR(SUMIF(Calculations!G:G,B57,Calculations!F:F),2)&amp;" "&amp;B57)</f>
        <v>5% of $14,576.59 Rancho Cordova</v>
      </c>
      <c r="E57" s="11">
        <f>SUMIF(Calculations!G:G,B57,Calculations!J:J)</f>
        <v>291.52</v>
      </c>
      <c r="F57" t="str">
        <f>IF(Table8[[#This Row],[Location]]="Belmont Market",1,IF(Table8[[#This Row],[Location]]="Country Club Centre",1,IF(Table8[[#This Row],[Location]]="Naval Air Station Norfolk",0.5,2)))&amp;"% of "&amp;DOLLAR(SUMIF(Calculations!G:G,B57,Calculations!F:F),2)&amp;" "&amp;B57</f>
        <v>2% of $14,576.59 Rancho Cordova</v>
      </c>
      <c r="G57" s="11" t="str">
        <f>IF((SUMIF(Calculations!$G:$G,Table8[[#This Row],[Location]],Calculations!$K:$K)/COUNTIF(Calculations!$G:$G,Table8[[#This Row],[Location]]))&lt;&gt;VLOOKUP(Table8[[#This Row],[Location]],Calculations!G:M,5,0),"Yes","")</f>
        <v/>
      </c>
      <c r="H57" s="11">
        <f>Table8[[#This Row],[CONTINUINGFEE - Net Value]]+Table8[[#This Row],[MARKETINGFEE - Net Value]]</f>
        <v>1020.3399999999999</v>
      </c>
    </row>
    <row r="58" spans="1:9" s="11" customFormat="1" hidden="1" x14ac:dyDescent="0.25">
      <c r="A58" t="str">
        <f>VLOOKUP(B58,'Rates from Tracker'!B:C,2,0)</f>
        <v>Southern Pie LLC</v>
      </c>
      <c r="B58" s="27" t="s">
        <v>295</v>
      </c>
      <c r="C58" s="11">
        <f>SUMIF(Calculations!G:G,B58,Calculations!L:L)</f>
        <v>0</v>
      </c>
      <c r="D58" s="11" t="e">
        <f>IF(Table8[[#This Row],[Rate Increase?]]="Yes","",(VLOOKUP(B58,Calculations!G:K,5,0)*100)&amp;"% of "&amp;DOLLAR(SUMIF(Calculations!G:G,B58,Calculations!F:F),2)&amp;" "&amp;B58)</f>
        <v>#DIV/0!</v>
      </c>
      <c r="E58" s="11">
        <f>SUMIF(Calculations!G:G,B58,Calculations!J:J)</f>
        <v>0</v>
      </c>
      <c r="F58" t="str">
        <f>IF(Table8[[#This Row],[Location]]="Belmont Market",1,IF(Table8[[#This Row],[Location]]="Country Club Centre",1,IF(Table8[[#This Row],[Location]]="Naval Air Station Norfolk",0.5,2)))&amp;"% of "&amp;DOLLAR(SUMIF(Calculations!G:G,B58,Calculations!F:F),2)&amp;" "&amp;B58</f>
        <v>2% of $0.00 Dawsonville</v>
      </c>
      <c r="G58" s="11" t="e">
        <f>IF((SUMIF(Calculations!$G:$G,Table8[[#This Row],[Location]],Calculations!$K:$K)/COUNTIF(Calculations!$G:$G,Table8[[#This Row],[Location]]))&lt;&gt;VLOOKUP(Table8[[#This Row],[Location]],Calculations!G:M,5,0),"Yes","")</f>
        <v>#DIV/0!</v>
      </c>
      <c r="H58" s="11">
        <f>Table8[[#This Row],[CONTINUINGFEE - Net Value]]+Table8[[#This Row],[MARKETINGFEE - Net Value]]</f>
        <v>0</v>
      </c>
    </row>
    <row r="59" spans="1:9" s="11" customFormat="1" hidden="1" x14ac:dyDescent="0.25">
      <c r="A59" t="str">
        <f>VLOOKUP(B59,'Rates from Tracker'!B:C,2,0)</f>
        <v>Best Pizza LLC</v>
      </c>
      <c r="B59" s="27" t="s">
        <v>296</v>
      </c>
      <c r="C59" s="11">
        <f>SUMIF(Calculations!G:G,B59,Calculations!L:L)</f>
        <v>1046.8799999999999</v>
      </c>
      <c r="D59" s="11" t="str">
        <f>IF(Table8[[#This Row],[Rate Increase?]]="Yes","",(VLOOKUP(B59,Calculations!G:K,5,0)*100)&amp;"% of "&amp;DOLLAR(SUMIF(Calculations!G:G,B59,Calculations!F:F),2)&amp;" "&amp;B59)</f>
        <v>5% of $20,937.55 Greeley</v>
      </c>
      <c r="E59" s="11">
        <f>SUMIF(Calculations!G:G,B59,Calculations!J:J)</f>
        <v>418.75000000000006</v>
      </c>
      <c r="F59" t="str">
        <f>IF(Table8[[#This Row],[Location]]="Belmont Market",1,IF(Table8[[#This Row],[Location]]="Country Club Centre",1,IF(Table8[[#This Row],[Location]]="Naval Air Station Norfolk",0.5,2)))&amp;"% of "&amp;DOLLAR(SUMIF(Calculations!G:G,B59,Calculations!F:F),2)&amp;" "&amp;B59</f>
        <v>2% of $20,937.55 Greeley</v>
      </c>
      <c r="G59" s="11" t="str">
        <f>IF((SUMIF(Calculations!$G:$G,Table8[[#This Row],[Location]],Calculations!$K:$K)/COUNTIF(Calculations!$G:$G,Table8[[#This Row],[Location]]))&lt;&gt;VLOOKUP(Table8[[#This Row],[Location]],Calculations!G:M,5,0),"Yes","")</f>
        <v/>
      </c>
      <c r="H59" s="11">
        <f>Table8[[#This Row],[CONTINUINGFEE - Net Value]]+Table8[[#This Row],[MARKETINGFEE - Net Value]]</f>
        <v>1465.6299999999999</v>
      </c>
    </row>
    <row r="60" spans="1:9" s="11" customFormat="1" hidden="1" x14ac:dyDescent="0.25">
      <c r="A60" t="str">
        <f>VLOOKUP(B60,'Rates from Tracker'!B:C,2,0)</f>
        <v>Rolling Dough LLC</v>
      </c>
      <c r="B60" s="27" t="s">
        <v>299</v>
      </c>
      <c r="C60" s="11">
        <f>SUMIF(Calculations!G:G,B60,Calculations!L:L)</f>
        <v>940.42</v>
      </c>
      <c r="D60" s="11" t="str">
        <f>IF(Table8[[#This Row],[Rate Increase?]]="Yes","",(VLOOKUP(B60,Calculations!G:K,5,0)*100)&amp;"% of "&amp;DOLLAR(SUMIF(Calculations!G:G,B60,Calculations!F:F),2)&amp;" "&amp;B60)</f>
        <v>5% of $18,808.62 Lexington</v>
      </c>
      <c r="E60" s="11">
        <f>SUMIF(Calculations!G:G,B60,Calculations!J:J)</f>
        <v>376.17999999999995</v>
      </c>
      <c r="F60" t="str">
        <f>IF(Table8[[#This Row],[Location]]="Belmont Market",1,IF(Table8[[#This Row],[Location]]="Country Club Centre",1,IF(Table8[[#This Row],[Location]]="Naval Air Station Norfolk",0.5,2)))&amp;"% of "&amp;DOLLAR(SUMIF(Calculations!G:G,B60,Calculations!F:F),2)&amp;" "&amp;B60</f>
        <v>2% of $18,808.62 Lexington</v>
      </c>
      <c r="G60" s="11" t="str">
        <f>IF((SUMIF(Calculations!$G:$G,Table8[[#This Row],[Location]],Calculations!$K:$K)/COUNTIF(Calculations!$G:$G,Table8[[#This Row],[Location]]))&lt;&gt;VLOOKUP(Table8[[#This Row],[Location]],Calculations!G:M,5,0),"Yes","")</f>
        <v/>
      </c>
      <c r="H60" s="11">
        <f>Table8[[#This Row],[CONTINUINGFEE - Net Value]]+Table8[[#This Row],[MARKETINGFEE - Net Value]]</f>
        <v>1316.6</v>
      </c>
    </row>
    <row r="61" spans="1:9" s="11" customFormat="1" hidden="1" x14ac:dyDescent="0.25">
      <c r="A61" t="str">
        <f>VLOOKUP(B61,'Rates from Tracker'!B:C,2,0)</f>
        <v>Southern Pie LLC</v>
      </c>
      <c r="B61" s="27" t="s">
        <v>303</v>
      </c>
      <c r="C61" s="11">
        <f>SUMIF(Calculations!G:G,B61,Calculations!L:L)</f>
        <v>0</v>
      </c>
      <c r="D61" s="11" t="e">
        <f>IF(Table8[[#This Row],[Rate Increase?]]="Yes","",(VLOOKUP(B61,Calculations!G:K,5,0)*100)&amp;"% of "&amp;DOLLAR(SUMIF(Calculations!G:G,B61,Calculations!F:F),2)&amp;" "&amp;B61)</f>
        <v>#DIV/0!</v>
      </c>
      <c r="E61" s="11">
        <f>SUMIF(Calculations!G:G,B61,Calculations!J:J)</f>
        <v>0</v>
      </c>
      <c r="F61" t="str">
        <f>IF(Table8[[#This Row],[Location]]="Belmont Market",1,IF(Table8[[#This Row],[Location]]="Country Club Centre",1,IF(Table8[[#This Row],[Location]]="Naval Air Station Norfolk",0.5,2)))&amp;"% of "&amp;DOLLAR(SUMIF(Calculations!G:G,B61,Calculations!F:F),2)&amp;" "&amp;B61</f>
        <v>2% of $0.00 Sandy Springs</v>
      </c>
      <c r="G61" s="11" t="e">
        <f>IF((SUMIF(Calculations!$G:$G,Table8[[#This Row],[Location]],Calculations!$K:$K)/COUNTIF(Calculations!$G:$G,Table8[[#This Row],[Location]]))&lt;&gt;VLOOKUP(Table8[[#This Row],[Location]],Calculations!G:M,5,0),"Yes","")</f>
        <v>#DIV/0!</v>
      </c>
      <c r="H61" s="11">
        <f>Table8[[#This Row],[CONTINUINGFEE - Net Value]]+Table8[[#This Row],[MARKETINGFEE - Net Value]]</f>
        <v>0</v>
      </c>
      <c r="I61" s="11" t="s">
        <v>536</v>
      </c>
    </row>
    <row r="62" spans="1:9" s="11" customFormat="1" hidden="1" x14ac:dyDescent="0.25">
      <c r="A62" t="str">
        <f>VLOOKUP(B62,'Rates from Tracker'!B:C,2,0)</f>
        <v>Rolling Dough LLC</v>
      </c>
      <c r="B62" s="27" t="s">
        <v>310</v>
      </c>
      <c r="C62" s="11">
        <f>SUMIF(Calculations!G:G,B62,Calculations!L:L)</f>
        <v>840.99999999999989</v>
      </c>
      <c r="D62" s="11" t="str">
        <f>IF(Table8[[#This Row],[Rate Increase?]]="Yes","",(VLOOKUP(B62,Calculations!G:K,5,0)*100)&amp;"% of "&amp;DOLLAR(SUMIF(Calculations!G:G,B62,Calculations!F:F),2)&amp;" "&amp;B62)</f>
        <v>5% of $16,819.99 Augusta Exchange</v>
      </c>
      <c r="E62" s="11">
        <f>SUMIF(Calculations!G:G,B62,Calculations!J:J)</f>
        <v>336.41</v>
      </c>
      <c r="F62" t="str">
        <f>IF(Table8[[#This Row],[Location]]="Belmont Market",1,IF(Table8[[#This Row],[Location]]="Country Club Centre",1,IF(Table8[[#This Row],[Location]]="Naval Air Station Norfolk",0.5,2)))&amp;"% of "&amp;DOLLAR(SUMIF(Calculations!G:G,B62,Calculations!F:F),2)&amp;" "&amp;B62</f>
        <v>2% of $16,819.99 Augusta Exchange</v>
      </c>
      <c r="G62" s="11" t="str">
        <f>IF((SUMIF(Calculations!$G:$G,Table8[[#This Row],[Location]],Calculations!$K:$K)/COUNTIF(Calculations!$G:$G,Table8[[#This Row],[Location]]))&lt;&gt;VLOOKUP(Table8[[#This Row],[Location]],Calculations!G:M,5,0),"Yes","")</f>
        <v/>
      </c>
      <c r="H62" s="11">
        <f>Table8[[#This Row],[CONTINUINGFEE - Net Value]]+Table8[[#This Row],[MARKETINGFEE - Net Value]]</f>
        <v>1177.4099999999999</v>
      </c>
    </row>
    <row r="63" spans="1:9" s="11" customFormat="1" hidden="1" x14ac:dyDescent="0.25">
      <c r="A63" t="str">
        <f>VLOOKUP(B63,'Rates from Tracker'!B:C,2,0)</f>
        <v>TSFR Pizza LLC</v>
      </c>
      <c r="B63" s="27" t="s">
        <v>317</v>
      </c>
      <c r="C63" s="11">
        <f>SUMIF(Calculations!G:G,B63,Calculations!L:L)</f>
        <v>0</v>
      </c>
      <c r="D63" s="11" t="e">
        <f>IF(Table8[[#This Row],[Rate Increase?]]="Yes","",(VLOOKUP(B63,Calculations!G:K,5,0)*100)&amp;"% of "&amp;DOLLAR(SUMIF(Calculations!G:G,B63,Calculations!F:F),2)&amp;" "&amp;B63)</f>
        <v>#DIV/0!</v>
      </c>
      <c r="E63" s="11">
        <f>SUMIF(Calculations!G:G,B63,Calculations!J:J)</f>
        <v>0</v>
      </c>
      <c r="F63" t="str">
        <f>IF(Table8[[#This Row],[Location]]="Belmont Market",1,IF(Table8[[#This Row],[Location]]="Country Club Centre",1,IF(Table8[[#This Row],[Location]]="Naval Air Station Norfolk",0.5,2)))&amp;"% of "&amp;DOLLAR(SUMIF(Calculations!G:G,B63,Calculations!F:F),2)&amp;" "&amp;B63</f>
        <v>2% of $0.00 Hall Road</v>
      </c>
      <c r="G63" s="11" t="e">
        <f>IF((SUMIF(Calculations!$G:$G,Table8[[#This Row],[Location]],Calculations!$K:$K)/COUNTIF(Calculations!$G:$G,Table8[[#This Row],[Location]]))&lt;&gt;VLOOKUP(Table8[[#This Row],[Location]],Calculations!G:M,5,0),"Yes","")</f>
        <v>#DIV/0!</v>
      </c>
      <c r="H63" s="11">
        <f>Table8[[#This Row],[CONTINUINGFEE - Net Value]]+Table8[[#This Row],[MARKETINGFEE - Net Value]]</f>
        <v>0</v>
      </c>
      <c r="I63" s="11" t="s">
        <v>393</v>
      </c>
    </row>
    <row r="64" spans="1:9" s="11" customFormat="1" hidden="1" x14ac:dyDescent="0.25">
      <c r="A64" t="str">
        <f>VLOOKUP(B64,'Rates from Tracker'!B:C,2,0)</f>
        <v>Exceed Group West Sacramento</v>
      </c>
      <c r="B64" s="27" t="s">
        <v>320</v>
      </c>
      <c r="C64" s="11">
        <f>SUMIF(Calculations!G:G,B64,Calculations!L:L)</f>
        <v>811.99</v>
      </c>
      <c r="D64" s="11" t="str">
        <f>IF(Table8[[#This Row],[Rate Increase?]]="Yes","",(VLOOKUP(B64,Calculations!G:K,5,0)*100)&amp;"% of "&amp;DOLLAR(SUMIF(Calculations!G:G,B64,Calculations!F:F),2)&amp;" "&amp;B64)</f>
        <v>5% of $16,240.00 West Sacramento</v>
      </c>
      <c r="E64" s="11">
        <f>SUMIF(Calculations!G:G,B64,Calculations!J:J)</f>
        <v>324.81</v>
      </c>
      <c r="F64" t="str">
        <f>IF(Table8[[#This Row],[Location]]="Belmont Market",1,IF(Table8[[#This Row],[Location]]="Country Club Centre",1,IF(Table8[[#This Row],[Location]]="Naval Air Station Norfolk",0.5,2)))&amp;"% of "&amp;DOLLAR(SUMIF(Calculations!G:G,B64,Calculations!F:F),2)&amp;" "&amp;B64</f>
        <v>2% of $16,240.00 West Sacramento</v>
      </c>
      <c r="G64" s="11" t="str">
        <f>IF((SUMIF(Calculations!$G:$G,Table8[[#This Row],[Location]],Calculations!$K:$K)/COUNTIF(Calculations!$G:$G,Table8[[#This Row],[Location]]))&lt;&gt;VLOOKUP(Table8[[#This Row],[Location]],Calculations!G:M,5,0),"Yes","")</f>
        <v/>
      </c>
      <c r="H64" s="11">
        <f>Table8[[#This Row],[CONTINUINGFEE - Net Value]]+Table8[[#This Row],[MARKETINGFEE - Net Value]]</f>
        <v>1136.8</v>
      </c>
    </row>
    <row r="65" spans="1:9" s="11" customFormat="1" hidden="1" x14ac:dyDescent="0.25">
      <c r="A65" t="str">
        <f>VLOOKUP(B65,'Rates from Tracker'!B:C,2,0)</f>
        <v>APizza Delight Inc</v>
      </c>
      <c r="B65" s="27" t="s">
        <v>322</v>
      </c>
      <c r="C65" s="11">
        <f>SUMIF(Calculations!G:G,B65,Calculations!L:L)</f>
        <v>118.94000000000001</v>
      </c>
      <c r="D65" s="11" t="str">
        <f>IF(Table8[[#This Row],[Rate Increase?]]="Yes","",(VLOOKUP(B65,Calculations!G:K,5,0)*100)&amp;"% of "&amp;DOLLAR(SUMIF(Calculations!G:G,B65,Calculations!F:F),2)&amp;" "&amp;B65)</f>
        <v>1% of $11,892.77 Madison</v>
      </c>
      <c r="E65" s="11">
        <f>SUMIF(Calculations!G:G,B65,Calculations!J:J)</f>
        <v>237.86000000000004</v>
      </c>
      <c r="F65" t="str">
        <f>IF(Table8[[#This Row],[Location]]="Belmont Market",1,IF(Table8[[#This Row],[Location]]="Country Club Centre",1,IF(Table8[[#This Row],[Location]]="Naval Air Station Norfolk",0.5,2)))&amp;"% of "&amp;DOLLAR(SUMIF(Calculations!G:G,B65,Calculations!F:F),2)&amp;" "&amp;B65</f>
        <v>2% of $11,892.77 Madison</v>
      </c>
      <c r="G65" s="11" t="str">
        <f>IF((SUMIF(Calculations!$G:$G,Table8[[#This Row],[Location]],Calculations!$K:$K)/COUNTIF(Calculations!$G:$G,Table8[[#This Row],[Location]]))&lt;&gt;VLOOKUP(Table8[[#This Row],[Location]],Calculations!G:M,5,0),"Yes","")</f>
        <v/>
      </c>
      <c r="H65" s="11">
        <f>Table8[[#This Row],[CONTINUINGFEE - Net Value]]+Table8[[#This Row],[MARKETINGFEE - Net Value]]</f>
        <v>356.80000000000007</v>
      </c>
    </row>
    <row r="66" spans="1:9" s="11" customFormat="1" hidden="1" x14ac:dyDescent="0.25">
      <c r="A66" t="str">
        <f>VLOOKUP(B66,'Rates from Tracker'!B:C,2,0)</f>
        <v>TSFR Pizza LLC</v>
      </c>
      <c r="B66" s="27" t="s">
        <v>324</v>
      </c>
      <c r="C66" s="11">
        <f>SUMIF(Calculations!G:G,B66,Calculations!L:L)</f>
        <v>0</v>
      </c>
      <c r="D66" s="11" t="e">
        <f>IF(Table8[[#This Row],[Rate Increase?]]="Yes","",(VLOOKUP(B66,Calculations!G:K,5,0)*100)&amp;"% of "&amp;DOLLAR(SUMIF(Calculations!G:G,B66,Calculations!F:F),2)&amp;" "&amp;B66)</f>
        <v>#DIV/0!</v>
      </c>
      <c r="E66" s="11">
        <f>SUMIF(Calculations!G:G,B66,Calculations!J:J)</f>
        <v>0</v>
      </c>
      <c r="F66" t="str">
        <f>IF(Table8[[#This Row],[Location]]="Belmont Market",1,IF(Table8[[#This Row],[Location]]="Country Club Centre",1,IF(Table8[[#This Row],[Location]]="Naval Air Station Norfolk",0.5,2)))&amp;"% of "&amp;DOLLAR(SUMIF(Calculations!G:G,B66,Calculations!F:F),2)&amp;" "&amp;B66</f>
        <v>2% of $0.00 Troy</v>
      </c>
      <c r="G66" s="11" t="e">
        <f>IF((SUMIF(Calculations!$G:$G,Table8[[#This Row],[Location]],Calculations!$K:$K)/COUNTIF(Calculations!$G:$G,Table8[[#This Row],[Location]]))&lt;&gt;VLOOKUP(Table8[[#This Row],[Location]],Calculations!G:M,5,0),"Yes","")</f>
        <v>#DIV/0!</v>
      </c>
      <c r="H66" s="11">
        <f>Table8[[#This Row],[CONTINUINGFEE - Net Value]]+Table8[[#This Row],[MARKETINGFEE - Net Value]]</f>
        <v>0</v>
      </c>
    </row>
    <row r="67" spans="1:9" s="11" customFormat="1" hidden="1" x14ac:dyDescent="0.25">
      <c r="A67" t="str">
        <f>VLOOKUP(B67,'Rates from Tracker'!B:C,2,0)</f>
        <v>Southern Pie LLC</v>
      </c>
      <c r="B67" s="27" t="s">
        <v>334</v>
      </c>
      <c r="C67" s="11">
        <f>SUMIF(Calculations!G:G,B67,Calculations!L:L)</f>
        <v>0</v>
      </c>
      <c r="D67" s="11" t="e">
        <f>IF(Table8[[#This Row],[Rate Increase?]]="Yes","",(VLOOKUP(B67,Calculations!G:K,5,0)*100)&amp;"% of "&amp;DOLLAR(SUMIF(Calculations!G:G,B67,Calculations!F:F),2)&amp;" "&amp;B67)</f>
        <v>#DIV/0!</v>
      </c>
      <c r="E67" s="11">
        <f>SUMIF(Calculations!G:G,B67,Calculations!J:J)</f>
        <v>0</v>
      </c>
      <c r="F67" t="str">
        <f>IF(Table8[[#This Row],[Location]]="Belmont Market",1,IF(Table8[[#This Row],[Location]]="Country Club Centre",1,IF(Table8[[#This Row],[Location]]="Naval Air Station Norfolk",0.5,2)))&amp;"% of "&amp;DOLLAR(SUMIF(Calculations!G:G,B67,Calculations!F:F),2)&amp;" "&amp;B67</f>
        <v>2% of $0.00 Chamblee</v>
      </c>
      <c r="G67" s="11" t="e">
        <f>IF((SUMIF(Calculations!$G:$G,Table8[[#This Row],[Location]],Calculations!$K:$K)/COUNTIF(Calculations!$G:$G,Table8[[#This Row],[Location]]))&lt;&gt;VLOOKUP(Table8[[#This Row],[Location]],Calculations!G:M,5,0),"Yes","")</f>
        <v>#DIV/0!</v>
      </c>
      <c r="H67" s="11">
        <f>Table8[[#This Row],[CONTINUINGFEE - Net Value]]+Table8[[#This Row],[MARKETINGFEE - Net Value]]</f>
        <v>0</v>
      </c>
      <c r="I67" s="11" t="s">
        <v>393</v>
      </c>
    </row>
    <row r="68" spans="1:9" s="11" customFormat="1" hidden="1" x14ac:dyDescent="0.25">
      <c r="A68" t="str">
        <f>VLOOKUP(B68,'Rates from Tracker'!B:C,2,0)</f>
        <v>Best Pizza LLC</v>
      </c>
      <c r="B68" s="27" t="s">
        <v>339</v>
      </c>
      <c r="C68" s="11">
        <f>SUMIF(Calculations!G:G,B68,Calculations!L:L)</f>
        <v>1196.97</v>
      </c>
      <c r="D68" s="11" t="str">
        <f>IF(Table8[[#This Row],[Rate Increase?]]="Yes","",(VLOOKUP(B68,Calculations!G:K,5,0)*100)&amp;"% of "&amp;DOLLAR(SUMIF(Calculations!G:G,B68,Calculations!F:F),2)&amp;" "&amp;B68)</f>
        <v>5% of $23,939.38 Ralston Creek</v>
      </c>
      <c r="E68" s="11">
        <f>SUMIF(Calculations!G:G,B68,Calculations!J:J)</f>
        <v>478.78000000000003</v>
      </c>
      <c r="F68" t="str">
        <f>IF(Table8[[#This Row],[Location]]="Belmont Market",1,IF(Table8[[#This Row],[Location]]="Country Club Centre",1,IF(Table8[[#This Row],[Location]]="Naval Air Station Norfolk",0.5,2)))&amp;"% of "&amp;DOLLAR(SUMIF(Calculations!G:G,B68,Calculations!F:F),2)&amp;" "&amp;B68</f>
        <v>2% of $23,939.38 Ralston Creek</v>
      </c>
      <c r="G68" s="11" t="str">
        <f>IF((SUMIF(Calculations!$G:$G,Table8[[#This Row],[Location]],Calculations!$K:$K)/COUNTIF(Calculations!$G:$G,Table8[[#This Row],[Location]]))&lt;&gt;VLOOKUP(Table8[[#This Row],[Location]],Calculations!G:M,5,0),"Yes","")</f>
        <v/>
      </c>
      <c r="H68" s="11">
        <f>Table8[[#This Row],[CONTINUINGFEE - Net Value]]+Table8[[#This Row],[MARKETINGFEE - Net Value]]</f>
        <v>1675.75</v>
      </c>
    </row>
    <row r="69" spans="1:9" s="11" customFormat="1" hidden="1" x14ac:dyDescent="0.25">
      <c r="A69" s="91" t="str">
        <f>VLOOKUP(B69,'Rates from Tracker'!B:C,2,0)</f>
        <v>MAA MELDI 3980 Inc</v>
      </c>
      <c r="B69" s="27" t="s">
        <v>346</v>
      </c>
      <c r="C69" s="11">
        <f>SUMIF(Calculations!G:G,B69,Calculations!L:L)</f>
        <v>117.18</v>
      </c>
      <c r="D69" s="11" t="str">
        <f>IF(Table8[[#This Row],[Rate Increase?]]="Yes","",(VLOOKUP(B69,Calculations!G:K,5,0)*100)&amp;"% of "&amp;DOLLAR(SUMIF(Calculations!G:G,B69,Calculations!F:F),2)&amp;" "&amp;B69)</f>
        <v>1% of $11,718.78 Mobile</v>
      </c>
      <c r="E69" s="11">
        <f>SUMIF(Calculations!G:G,B69,Calculations!J:J)</f>
        <v>234.39000000000001</v>
      </c>
      <c r="F69" t="str">
        <f>IF(Table8[[#This Row],[Location]]="Belmont Market",1,IF(Table8[[#This Row],[Location]]="Country Club Centre",1,IF(Table8[[#This Row],[Location]]="Naval Air Station Norfolk",0.5,2)))&amp;"% of "&amp;DOLLAR(SUMIF(Calculations!G:G,B69,Calculations!F:F),2)&amp;" "&amp;B69</f>
        <v>2% of $11,718.78 Mobile</v>
      </c>
      <c r="G69" s="11" t="str">
        <f>IF((SUMIF(Calculations!$G:$G,Table8[[#This Row],[Location]],Calculations!$K:$K)/COUNTIF(Calculations!$G:$G,Table8[[#This Row],[Location]]))&lt;&gt;VLOOKUP(Table8[[#This Row],[Location]],Calculations!G:M,5,0),"Yes","")</f>
        <v/>
      </c>
      <c r="H69" s="11">
        <f>Table8[[#This Row],[CONTINUINGFEE - Net Value]]+Table8[[#This Row],[MARKETINGFEE - Net Value]]</f>
        <v>351.57000000000005</v>
      </c>
    </row>
    <row r="70" spans="1:9" s="11" customFormat="1" hidden="1" x14ac:dyDescent="0.25">
      <c r="A70" t="str">
        <f>VLOOKUP(B70,'Rates from Tracker'!B:C,2,0)</f>
        <v>Cool Dough Development, LLC</v>
      </c>
      <c r="B70" s="27" t="s">
        <v>350</v>
      </c>
      <c r="C70" s="11">
        <f>SUMIF(Calculations!G:G,B70,Calculations!L:L)</f>
        <v>696.82</v>
      </c>
      <c r="D70" s="11" t="str">
        <f>IF(Table8[[#This Row],[Rate Increase?]]="Yes","",(VLOOKUP(B70,Calculations!G:K,5,0)*100)&amp;"% of "&amp;DOLLAR(SUMIF(Calculations!G:G,B70,Calculations!F:F),2)&amp;" "&amp;B70)</f>
        <v>5% of $13,936.25 Georgetown</v>
      </c>
      <c r="E70" s="11">
        <f>SUMIF(Calculations!G:G,B70,Calculations!J:J)</f>
        <v>278.72999999999996</v>
      </c>
      <c r="F70" t="str">
        <f>IF(Table8[[#This Row],[Location]]="Belmont Market",1,IF(Table8[[#This Row],[Location]]="Country Club Centre",1,IF(Table8[[#This Row],[Location]]="Naval Air Station Norfolk",0.5,2)))&amp;"% of "&amp;DOLLAR(SUMIF(Calculations!G:G,B70,Calculations!F:F),2)&amp;" "&amp;B70</f>
        <v>2% of $13,936.25 Georgetown</v>
      </c>
      <c r="G70" s="11" t="str">
        <f>IF((SUMIF(Calculations!$G:$G,Table8[[#This Row],[Location]],Calculations!$K:$K)/COUNTIF(Calculations!$G:$G,Table8[[#This Row],[Location]]))&lt;&gt;VLOOKUP(Table8[[#This Row],[Location]],Calculations!G:M,5,0),"Yes","")</f>
        <v/>
      </c>
      <c r="H70" s="11">
        <f>Table8[[#This Row],[CONTINUINGFEE - Net Value]]+Table8[[#This Row],[MARKETINGFEE - Net Value]]</f>
        <v>975.55</v>
      </c>
    </row>
    <row r="71" spans="1:9" s="11" customFormat="1" hidden="1" x14ac:dyDescent="0.25">
      <c r="A71" t="str">
        <f>VLOOKUP(B71,'Rates from Tracker'!B:C,2,0)</f>
        <v>Compass Group USA, Inc.</v>
      </c>
      <c r="B71" s="148" t="s">
        <v>351</v>
      </c>
      <c r="C71" s="11">
        <f>SUMIF(Calculations!G:G,B71,Calculations!L:L)</f>
        <v>0</v>
      </c>
      <c r="D71" s="11" t="e">
        <f>IF(Table8[[#This Row],[Rate Increase?]]="Yes","",(VLOOKUP(B71,Calculations!G:K,5,0)*100)&amp;"% of "&amp;DOLLAR(SUMIF(Calculations!G:G,B71,Calculations!F:F),2)&amp;" "&amp;B71)</f>
        <v>#DIV/0!</v>
      </c>
      <c r="E71" s="149">
        <f>SUMIF(Calculations!G:G,B71,Calculations!J:J)</f>
        <v>0</v>
      </c>
      <c r="F71" s="147" t="str">
        <f>IF(Table8[[#This Row],[Location]]="Belmont Market",1,IF(Table8[[#This Row],[Location]]="Country Club Centre",1,IF(Table8[[#This Row],[Location]]="Naval Air Station Norfolk",0.5,2)))&amp;"% of "&amp;DOLLAR(SUMIF(Calculations!G:G,B71,Calculations!F:F),2)&amp;" "&amp;B71</f>
        <v>2% of $0.00 Northwestern University</v>
      </c>
      <c r="G71" s="149" t="e">
        <f>IF((SUMIF(Calculations!$G:$G,Table8[[#This Row],[Location]],Calculations!$K:$K)/COUNTIF(Calculations!$G:$G,Table8[[#This Row],[Location]]))&lt;&gt;VLOOKUP(Table8[[#This Row],[Location]],Calculations!G:M,5,0),"Yes","")</f>
        <v>#DIV/0!</v>
      </c>
      <c r="H71" s="149">
        <f>Table8[[#This Row],[CONTINUINGFEE - Net Value]]+Table8[[#This Row],[MARKETINGFEE - Net Value]]</f>
        <v>0</v>
      </c>
      <c r="I71" s="149" t="s">
        <v>359</v>
      </c>
    </row>
    <row r="72" spans="1:9" s="11" customFormat="1" hidden="1" x14ac:dyDescent="0.25">
      <c r="A72" t="str">
        <f>VLOOKUP(B72,'Rates from Tracker'!B:C,2,0)</f>
        <v>TSFR Pizza LLC</v>
      </c>
      <c r="B72" s="27" t="s">
        <v>355</v>
      </c>
      <c r="C72" s="11">
        <f>SUMIF(Calculations!G:G,B72,Calculations!L:L)</f>
        <v>0</v>
      </c>
      <c r="D72" s="11" t="e">
        <f>IF(Table8[[#This Row],[Rate Increase?]]="Yes","",(VLOOKUP(B72,Calculations!G:K,5,0)*100)&amp;"% of "&amp;DOLLAR(SUMIF(Calculations!G:G,B72,Calculations!F:F),2)&amp;" "&amp;B72)</f>
        <v>#DIV/0!</v>
      </c>
      <c r="E72" s="11">
        <f>SUMIF(Calculations!G:G,B72,Calculations!J:J)</f>
        <v>0</v>
      </c>
      <c r="F72" t="str">
        <f>IF(Table8[[#This Row],[Location]]="Belmont Market",1,IF(Table8[[#This Row],[Location]]="Country Club Centre",1,IF(Table8[[#This Row],[Location]]="Naval Air Station Norfolk",0.5,2)))&amp;"% of "&amp;DOLLAR(SUMIF(Calculations!G:G,B72,Calculations!F:F),2)&amp;" "&amp;B72</f>
        <v>2% of $0.00 Kalamazoo</v>
      </c>
      <c r="G72" s="11" t="e">
        <f>IF((SUMIF(Calculations!$G:$G,Table8[[#This Row],[Location]],Calculations!$K:$K)/COUNTIF(Calculations!$G:$G,Table8[[#This Row],[Location]]))&lt;&gt;VLOOKUP(Table8[[#This Row],[Location]],Calculations!G:M,5,0),"Yes","")</f>
        <v>#DIV/0!</v>
      </c>
      <c r="H72" s="11">
        <f>Table8[[#This Row],[CONTINUINGFEE - Net Value]]+Table8[[#This Row],[MARKETINGFEE - Net Value]]</f>
        <v>0</v>
      </c>
      <c r="I72" s="11" t="s">
        <v>393</v>
      </c>
    </row>
    <row r="73" spans="1:9" s="11" customFormat="1" hidden="1" x14ac:dyDescent="0.25">
      <c r="A73" t="str">
        <f>VLOOKUP(B73,'Rates from Tracker'!B:C,2,0)</f>
        <v>Best Pizza LLC</v>
      </c>
      <c r="B73" s="27" t="s">
        <v>381</v>
      </c>
      <c r="C73" s="11">
        <f>SUMIF(Calculations!G:G,B73,Calculations!L:L)</f>
        <v>1307.0999999999999</v>
      </c>
      <c r="D73" s="11" t="str">
        <f>IF(Table8[[#This Row],[Rate Increase?]]="Yes","",(VLOOKUP(B73,Calculations!G:K,5,0)*100)&amp;"% of "&amp;DOLLAR(SUMIF(Calculations!G:G,B73,Calculations!F:F),2)&amp;" "&amp;B73)</f>
        <v>5% of $26,141.91 Crown Point</v>
      </c>
      <c r="E73" s="11">
        <f>SUMIF(Calculations!G:G,B73,Calculations!J:J)</f>
        <v>522.84</v>
      </c>
      <c r="F73" t="str">
        <f>IF(Table8[[#This Row],[Location]]="Belmont Market",1,IF(Table8[[#This Row],[Location]]="Country Club Centre",1,IF(Table8[[#This Row],[Location]]="Naval Air Station Norfolk",0.5,2)))&amp;"% of "&amp;DOLLAR(SUMIF(Calculations!G:G,B73,Calculations!F:F),2)&amp;" "&amp;B73</f>
        <v>2% of $26,141.91 Crown Point</v>
      </c>
      <c r="G73" s="11" t="str">
        <f>IF((SUMIF(Calculations!$G:$G,Table8[[#This Row],[Location]],Calculations!$K:$K)/COUNTIF(Calculations!$G:$G,Table8[[#This Row],[Location]]))&lt;&gt;VLOOKUP(Table8[[#This Row],[Location]],Calculations!G:M,5,0),"Yes","")</f>
        <v/>
      </c>
      <c r="H73" s="11">
        <f>Table8[[#This Row],[CONTINUINGFEE - Net Value]]+Table8[[#This Row],[MARKETINGFEE - Net Value]]</f>
        <v>1829.94</v>
      </c>
    </row>
    <row r="74" spans="1:9" s="11" customFormat="1" hidden="1" x14ac:dyDescent="0.25">
      <c r="A74" t="str">
        <f>VLOOKUP(B74,'Rates from Tracker'!B:C,2,0)</f>
        <v>TSFR Pizza LLC</v>
      </c>
      <c r="B74" s="27" t="s">
        <v>387</v>
      </c>
      <c r="C74" s="11">
        <f>SUMIF(Calculations!G:G,B74,Calculations!L:L)</f>
        <v>0</v>
      </c>
      <c r="D74" s="11" t="e">
        <f>IF(Table8[[#This Row],[Rate Increase?]]="Yes","",(VLOOKUP(B74,Calculations!G:K,5,0)*100)&amp;"% of "&amp;DOLLAR(SUMIF(Calculations!G:G,B74,Calculations!F:F),2)&amp;" "&amp;B74)</f>
        <v>#DIV/0!</v>
      </c>
      <c r="E74" s="11">
        <f>SUMIF(Calculations!G:G,B74,Calculations!J:J)</f>
        <v>0</v>
      </c>
      <c r="F74" t="str">
        <f>IF(Table8[[#This Row],[Location]]="Belmont Market",1,IF(Table8[[#This Row],[Location]]="Country Club Centre",1,IF(Table8[[#This Row],[Location]]="Naval Air Station Norfolk",0.5,2)))&amp;"% of "&amp;DOLLAR(SUMIF(Calculations!G:G,B74,Calculations!F:F),2)&amp;" "&amp;B74</f>
        <v>2% of $0.00 Alpine</v>
      </c>
      <c r="G74" s="11" t="e">
        <f>IF((SUMIF(Calculations!$G:$G,Table8[[#This Row],[Location]],Calculations!$K:$K)/COUNTIF(Calculations!$G:$G,Table8[[#This Row],[Location]]))&lt;&gt;VLOOKUP(Table8[[#This Row],[Location]],Calculations!G:M,5,0),"Yes","")</f>
        <v>#DIV/0!</v>
      </c>
      <c r="H74" s="11">
        <f>Table8[[#This Row],[CONTINUINGFEE - Net Value]]+Table8[[#This Row],[MARKETINGFEE - Net Value]]</f>
        <v>0</v>
      </c>
      <c r="I74" s="11" t="s">
        <v>536</v>
      </c>
    </row>
    <row r="75" spans="1:9" s="11" customFormat="1" hidden="1" x14ac:dyDescent="0.25">
      <c r="A75" t="str">
        <f>VLOOKUP(B75,'Rates from Tracker'!B:C,2,0)</f>
        <v>DTW North Partners LLC</v>
      </c>
      <c r="B75" s="148" t="s">
        <v>429</v>
      </c>
      <c r="C75" s="11">
        <f>SUMIF(Calculations!G:G,B75,Calculations!L:L)</f>
        <v>0</v>
      </c>
      <c r="D75" s="11" t="e">
        <f>IF(Table8[[#This Row],[Rate Increase?]]="Yes","",(VLOOKUP(B75,Calculations!G:K,5,0)*100)&amp;"% of "&amp;DOLLAR(SUMIF(Calculations!G:G,B75,Calculations!F:F),2)&amp;" "&amp;B75)</f>
        <v>#DIV/0!</v>
      </c>
      <c r="E75" s="149">
        <f>SUMIF(Calculations!G:G,B75,Calculations!J:J)</f>
        <v>0</v>
      </c>
      <c r="F75" s="147" t="str">
        <f>IF(Table8[[#This Row],[Location]]="Belmont Market",1,IF(Table8[[#This Row],[Location]]="Country Club Centre",1,IF(Table8[[#This Row],[Location]]="Naval Air Station Norfolk",0.5,2)))&amp;"% of "&amp;DOLLAR(SUMIF(Calculations!G:G,B75,Calculations!F:F),2)&amp;" "&amp;B75</f>
        <v>2% of $0.00 DTW Airport</v>
      </c>
      <c r="G75" s="149" t="e">
        <f>IF((SUMIF(Calculations!$G:$G,Table8[[#This Row],[Location]],Calculations!$K:$K)/COUNTIF(Calculations!$G:$G,Table8[[#This Row],[Location]]))&lt;&gt;VLOOKUP(Table8[[#This Row],[Location]],Calculations!G:M,5,0),"Yes","")</f>
        <v>#DIV/0!</v>
      </c>
      <c r="H75" s="149">
        <f>Table8[[#This Row],[CONTINUINGFEE - Net Value]]+Table8[[#This Row],[MARKETINGFEE - Net Value]]</f>
        <v>0</v>
      </c>
      <c r="I75" s="149" t="s">
        <v>359</v>
      </c>
    </row>
    <row r="76" spans="1:9" s="11" customFormat="1" hidden="1" x14ac:dyDescent="0.25">
      <c r="A76" t="str">
        <f>VLOOKUP(B76,'Rates from Tracker'!B:C,2,0)</f>
        <v>TSFR Pizza LLC</v>
      </c>
      <c r="B76" s="27" t="s">
        <v>434</v>
      </c>
      <c r="C76" s="11">
        <f>SUMIF(Calculations!G:G,B76,Calculations!L:L)</f>
        <v>0</v>
      </c>
      <c r="D76" s="11" t="e">
        <f>IF(Table8[[#This Row],[Rate Increase?]]="Yes","",(VLOOKUP(B76,Calculations!G:K,5,0)*100)&amp;"% of "&amp;DOLLAR(SUMIF(Calculations!G:G,B76,Calculations!F:F),2)&amp;" "&amp;B76)</f>
        <v>#DIV/0!</v>
      </c>
      <c r="E76" s="11">
        <f>SUMIF(Calculations!G:G,B76,Calculations!J:J)</f>
        <v>0</v>
      </c>
      <c r="F76" t="str">
        <f>IF(Table8[[#This Row],[Location]]="Belmont Market",1,IF(Table8[[#This Row],[Location]]="Country Club Centre",1,IF(Table8[[#This Row],[Location]]="Naval Air Station Norfolk",0.5,2)))&amp;"% of "&amp;DOLLAR(SUMIF(Calculations!G:G,B76,Calculations!F:F),2)&amp;" "&amp;B76</f>
        <v>2% of $0.00 Grand Rapids</v>
      </c>
      <c r="G76" s="11" t="e">
        <f>IF((SUMIF(Calculations!$G:$G,Table8[[#This Row],[Location]],Calculations!$K:$K)/COUNTIF(Calculations!$G:$G,Table8[[#This Row],[Location]]))&lt;&gt;VLOOKUP(Table8[[#This Row],[Location]],Calculations!G:M,5,0),"Yes","")</f>
        <v>#DIV/0!</v>
      </c>
      <c r="H76" s="11">
        <f>Table8[[#This Row],[CONTINUINGFEE - Net Value]]+Table8[[#This Row],[MARKETINGFEE - Net Value]]</f>
        <v>0</v>
      </c>
      <c r="I76" s="11" t="s">
        <v>536</v>
      </c>
    </row>
    <row r="77" spans="1:9" s="11" customFormat="1" hidden="1" x14ac:dyDescent="0.25">
      <c r="A77" t="str">
        <f>VLOOKUP(B77,'Rates from Tracker'!B:C,2,0)</f>
        <v>Best Pizza LLC</v>
      </c>
      <c r="B77" s="27" t="s">
        <v>453</v>
      </c>
      <c r="C77" s="11">
        <f>SUMIF(Calculations!G:G,B77,Calculations!L:L)</f>
        <v>1473.33</v>
      </c>
      <c r="D77" s="11" t="str">
        <f>IF(Table8[[#This Row],[Rate Increase?]]="Yes","",(VLOOKUP(B77,Calculations!G:K,5,0)*100)&amp;"% of "&amp;DOLLAR(SUMIF(Calculations!G:G,B77,Calculations!F:F),2)&amp;" "&amp;B77)</f>
        <v>5% of $29,466.18 Johnstown</v>
      </c>
      <c r="E77" s="11">
        <f>SUMIF(Calculations!G:G,B77,Calculations!J:J)</f>
        <v>589.32999999999993</v>
      </c>
      <c r="F77" t="str">
        <f>IF(Table8[[#This Row],[Location]]="Belmont Market",1,IF(Table8[[#This Row],[Location]]="Country Club Centre",1,IF(Table8[[#This Row],[Location]]="Naval Air Station Norfolk",0.5,2)))&amp;"% of "&amp;DOLLAR(SUMIF(Calculations!G:G,B77,Calculations!F:F),2)&amp;" "&amp;B77</f>
        <v>2% of $29,466.18 Johnstown</v>
      </c>
      <c r="G77" s="11" t="str">
        <f>IF((SUMIF(Calculations!$G:$G,Table8[[#This Row],[Location]],Calculations!$K:$K)/COUNTIF(Calculations!$G:$G,Table8[[#This Row],[Location]]))&lt;&gt;VLOOKUP(Table8[[#This Row],[Location]],Calculations!G:M,5,0),"Yes","")</f>
        <v/>
      </c>
      <c r="H77" s="11">
        <f>Table8[[#This Row],[CONTINUINGFEE - Net Value]]+Table8[[#This Row],[MARKETINGFEE - Net Value]]</f>
        <v>2062.66</v>
      </c>
    </row>
    <row r="78" spans="1:9" s="11" customFormat="1" hidden="1" x14ac:dyDescent="0.25">
      <c r="A78" t="str">
        <f>VLOOKUP(B78,'Rates from Tracker'!B:C,2,0)</f>
        <v>V.I. Pizza Belmont</v>
      </c>
      <c r="B78" s="27" t="s">
        <v>454</v>
      </c>
      <c r="C78" s="11">
        <f>SUMIF(Calculations!G:G,B78,Calculations!L:L)</f>
        <v>372.96999999999997</v>
      </c>
      <c r="D78" s="11" t="str">
        <f>IF(Table8[[#This Row],[Rate Increase?]]="Yes","",(VLOOKUP(B78,Calculations!G:K,5,0)*100)&amp;"% of "&amp;DOLLAR(SUMIF(Calculations!G:G,B78,Calculations!F:F),2)&amp;" "&amp;B78)</f>
        <v>2% of $18,647.95 Belmont Market</v>
      </c>
      <c r="E78" s="11">
        <f>SUMIF(Calculations!G:G,B78,Calculations!J:J)</f>
        <v>186.48000000000002</v>
      </c>
      <c r="F78" t="str">
        <f>IF(Table8[[#This Row],[Location]]="Belmont Market",1,IF(Table8[[#This Row],[Location]]="Country Club Centre",1,IF(Table8[[#This Row],[Location]]="Naval Air Station Norfolk",0.5,2)))&amp;"% of "&amp;DOLLAR(SUMIF(Calculations!G:G,B78,Calculations!F:F),2)&amp;" "&amp;B78</f>
        <v>1% of $18,647.95 Belmont Market</v>
      </c>
      <c r="H78" s="11">
        <f>Table8[[#This Row],[CONTINUINGFEE - Net Value]]+Table8[[#This Row],[MARKETINGFEE - Net Value]]</f>
        <v>559.45000000000005</v>
      </c>
    </row>
    <row r="79" spans="1:9" s="11" customFormat="1" hidden="1" x14ac:dyDescent="0.25">
      <c r="A79" t="str">
        <f>VLOOKUP(B79,'Rates from Tracker'!B:C,2,0)</f>
        <v>Southern Pie LLC</v>
      </c>
      <c r="B79" s="28" t="s">
        <v>472</v>
      </c>
      <c r="C79" s="11">
        <f>SUMIF(Calculations!G:G,B79,Calculations!L:L)</f>
        <v>0</v>
      </c>
      <c r="D79" s="11" t="e">
        <f>IF(Table8[[#This Row],[Rate Increase?]]="Yes","",(VLOOKUP(B79,Calculations!G:K,5,0)*100)&amp;"% of "&amp;DOLLAR(SUMIF(Calculations!G:G,B79,Calculations!F:F),2)&amp;" "&amp;B79)</f>
        <v>#DIV/0!</v>
      </c>
      <c r="E79" s="11">
        <f>SUMIF(Calculations!G:G,B79,Calculations!J:J)</f>
        <v>0</v>
      </c>
      <c r="F79" t="str">
        <f>IF(Table8[[#This Row],[Location]]="Belmont Market",1,IF(Table8[[#This Row],[Location]]="Country Club Centre",1,IF(Table8[[#This Row],[Location]]="Naval Air Station Norfolk",0.5,2)))&amp;"% of "&amp;DOLLAR(SUMIF(Calculations!G:G,B79,Calculations!F:F),2)&amp;" "&amp;B79</f>
        <v>2% of $0.00 Sandy Plains</v>
      </c>
      <c r="G79" s="11" t="e">
        <f>IF((SUMIF(Calculations!$G:$G,Table8[[#This Row],[Location]],Calculations!$K:$K)/COUNTIF(Calculations!$G:$G,Table8[[#This Row],[Location]]))&lt;&gt;VLOOKUP(Table8[[#This Row],[Location]],Calculations!G:M,5,0),"Yes","")</f>
        <v>#DIV/0!</v>
      </c>
      <c r="H79" s="11">
        <f>Table8[[#This Row],[CONTINUINGFEE - Net Value]]+Table8[[#This Row],[MARKETINGFEE - Net Value]]</f>
        <v>0</v>
      </c>
      <c r="I79" s="11" t="s">
        <v>536</v>
      </c>
    </row>
    <row r="80" spans="1:9" s="11" customFormat="1" hidden="1" x14ac:dyDescent="0.25">
      <c r="A80" t="str">
        <f>VLOOKUP(B80,'Rates from Tracker'!B:C,2,0)</f>
        <v>Exceed Group Eureka</v>
      </c>
      <c r="B80" s="28" t="s">
        <v>480</v>
      </c>
      <c r="C80" s="11">
        <f>SUMIF(Calculations!G:G,B80,Calculations!L:L)</f>
        <v>1016.63</v>
      </c>
      <c r="D80" s="11" t="str">
        <f>IF(Table8[[#This Row],[Rate Increase?]]="Yes","",(VLOOKUP(B80,Calculations!G:K,5,0)*100)&amp;"% of "&amp;DOLLAR(SUMIF(Calculations!G:G,B80,Calculations!F:F),2)&amp;" "&amp;B80)</f>
        <v>5% of $20,332.34 Eureka</v>
      </c>
      <c r="E80" s="11">
        <f>SUMIF(Calculations!G:G,B80,Calculations!J:J)</f>
        <v>406.65999999999991</v>
      </c>
      <c r="F80" t="str">
        <f>IF(Table8[[#This Row],[Location]]="Belmont Market",1,IF(Table8[[#This Row],[Location]]="Country Club Centre",1,IF(Table8[[#This Row],[Location]]="Naval Air Station Norfolk",0.5,2)))&amp;"% of "&amp;DOLLAR(SUMIF(Calculations!G:G,B80,Calculations!F:F),2)&amp;" "&amp;B80</f>
        <v>2% of $20,332.34 Eureka</v>
      </c>
      <c r="G80" s="11" t="str">
        <f>IF((SUMIF(Calculations!$G:$G,Table8[[#This Row],[Location]],Calculations!$K:$K)/COUNTIF(Calculations!$G:$G,Table8[[#This Row],[Location]]))&lt;&gt;VLOOKUP(Table8[[#This Row],[Location]],Calculations!G:M,5,0),"Yes","")</f>
        <v/>
      </c>
      <c r="H80" s="11">
        <f>Table8[[#This Row],[CONTINUINGFEE - Net Value]]+Table8[[#This Row],[MARKETINGFEE - Net Value]]</f>
        <v>1423.29</v>
      </c>
    </row>
    <row r="81" spans="1:9" s="11" customFormat="1" hidden="1" x14ac:dyDescent="0.25">
      <c r="A81" t="str">
        <f>VLOOKUP(B81,'Rates from Tracker'!B:C,2,0)</f>
        <v>Best Pizza LLC</v>
      </c>
      <c r="B81" s="28" t="s">
        <v>488</v>
      </c>
      <c r="C81" s="11">
        <f>SUMIF(Calculations!G:G,B81,Calculations!L:L)</f>
        <v>1292.94</v>
      </c>
      <c r="D81" s="11" t="str">
        <f>IF(Table8[[#This Row],[Rate Increase?]]="Yes","",(VLOOKUP(B81,Calculations!G:K,5,0)*100)&amp;"% of "&amp;DOLLAR(SUMIF(Calculations!G:G,B81,Calculations!F:F),2)&amp;" "&amp;B81)</f>
        <v>5% of $25,858.55 Sheridan Parkway</v>
      </c>
      <c r="E81" s="11">
        <f>SUMIF(Calculations!G:G,B81,Calculations!J:J)</f>
        <v>517.16999999999996</v>
      </c>
      <c r="F81" t="str">
        <f>IF(Table8[[#This Row],[Location]]="Belmont Market",1,IF(Table8[[#This Row],[Location]]="Country Club Centre",1,IF(Table8[[#This Row],[Location]]="Naval Air Station Norfolk",0.5,2)))&amp;"% of "&amp;DOLLAR(SUMIF(Calculations!G:G,B81,Calculations!F:F),2)&amp;" "&amp;B81</f>
        <v>2% of $25,858.55 Sheridan Parkway</v>
      </c>
      <c r="G81" s="11" t="str">
        <f>IF((SUMIF(Calculations!$G:$G,Table8[[#This Row],[Location]],Calculations!$K:$K)/COUNTIF(Calculations!$G:$G,Table8[[#This Row],[Location]]))&lt;&gt;VLOOKUP(Table8[[#This Row],[Location]],Calculations!G:M,5,0),"Yes","")</f>
        <v/>
      </c>
      <c r="H81" s="11">
        <f>Table8[[#This Row],[CONTINUINGFEE - Net Value]]+Table8[[#This Row],[MARKETINGFEE - Net Value]]</f>
        <v>1810.1100000000001</v>
      </c>
    </row>
    <row r="82" spans="1:9" s="11" customFormat="1" hidden="1" x14ac:dyDescent="0.25">
      <c r="A82" t="str">
        <f>VLOOKUP(B82,'Rates from Tracker'!B:C,2,0)</f>
        <v>Southern Pie LLC</v>
      </c>
      <c r="B82" s="28" t="s">
        <v>495</v>
      </c>
      <c r="C82" s="11">
        <f>SUMIF(Calculations!G:G,B82,Calculations!L:L)</f>
        <v>0</v>
      </c>
      <c r="D82" s="11" t="e">
        <f>IF(Table8[[#This Row],[Rate Increase?]]="Yes","",(VLOOKUP(B82,Calculations!G:K,5,0)*100)&amp;"% of "&amp;DOLLAR(SUMIF(Calculations!G:G,B82,Calculations!F:F),2)&amp;" "&amp;B82)</f>
        <v>#DIV/0!</v>
      </c>
      <c r="E82" s="11">
        <f>SUMIF(Calculations!G:G,B82,Calculations!J:J)</f>
        <v>0</v>
      </c>
      <c r="F82" t="str">
        <f>IF(Table8[[#This Row],[Location]]="Belmont Market",1,IF(Table8[[#This Row],[Location]]="Country Club Centre",1,IF(Table8[[#This Row],[Location]]="Naval Air Station Norfolk",0.5,2)))&amp;"% of "&amp;DOLLAR(SUMIF(Calculations!G:G,B82,Calculations!F:F),2)&amp;" "&amp;B82</f>
        <v>2% of $0.00 Cumming</v>
      </c>
      <c r="G82" s="11" t="e">
        <f>IF((SUMIF(Calculations!$G:$G,Table8[[#This Row],[Location]],Calculations!$K:$K)/COUNTIF(Calculations!$G:$G,Table8[[#This Row],[Location]]))&lt;&gt;VLOOKUP(Table8[[#This Row],[Location]],Calculations!G:M,5,0),"Yes","")</f>
        <v>#DIV/0!</v>
      </c>
      <c r="H82" s="11">
        <f>Table8[[#This Row],[CONTINUINGFEE - Net Value]]+Table8[[#This Row],[MARKETINGFEE - Net Value]]</f>
        <v>0</v>
      </c>
      <c r="I82" s="11" t="s">
        <v>536</v>
      </c>
    </row>
    <row r="83" spans="1:9" s="11" customFormat="1" hidden="1" x14ac:dyDescent="0.25">
      <c r="A83" t="str">
        <f>VLOOKUP(B83,'Rates from Tracker'!B:C,2,0)</f>
        <v>Exceed Group Campus Oaks</v>
      </c>
      <c r="B83" s="28" t="s">
        <v>501</v>
      </c>
      <c r="C83" s="11">
        <f>SUMIF(Calculations!G:G,B83,Calculations!L:L)</f>
        <v>1106.1400000000001</v>
      </c>
      <c r="D83" s="11" t="str">
        <f>IF(Table8[[#This Row],[Rate Increase?]]="Yes","",(VLOOKUP(B83,Calculations!G:K,5,0)*100)&amp;"% of "&amp;DOLLAR(SUMIF(Calculations!G:G,B83,Calculations!F:F),2)&amp;" "&amp;B83)</f>
        <v>5% of $22,123.04 Campus Oaks</v>
      </c>
      <c r="E83" s="11">
        <f>SUMIF(Calculations!G:G,B83,Calculations!J:J)</f>
        <v>442.46</v>
      </c>
      <c r="F83" t="str">
        <f>IF(Table8[[#This Row],[Location]]="Belmont Market",1,IF(Table8[[#This Row],[Location]]="Country Club Centre",1,IF(Table8[[#This Row],[Location]]="Naval Air Station Norfolk",0.5,2)))&amp;"% of "&amp;DOLLAR(SUMIF(Calculations!G:G,B83,Calculations!F:F),2)&amp;" "&amp;B83</f>
        <v>2% of $22,123.04 Campus Oaks</v>
      </c>
      <c r="G83" s="11" t="str">
        <f>IF((SUMIF(Calculations!$G:$G,Table8[[#This Row],[Location]],Calculations!$K:$K)/COUNTIF(Calculations!$G:$G,Table8[[#This Row],[Location]]))&lt;&gt;VLOOKUP(Table8[[#This Row],[Location]],Calculations!G:M,5,0),"Yes","")</f>
        <v/>
      </c>
      <c r="H83" s="11">
        <f>Table8[[#This Row],[CONTINUINGFEE - Net Value]]+Table8[[#This Row],[MARKETINGFEE - Net Value]]</f>
        <v>1548.6000000000001</v>
      </c>
    </row>
    <row r="84" spans="1:9" s="11" customFormat="1" hidden="1" x14ac:dyDescent="0.25">
      <c r="A84" t="str">
        <f>VLOOKUP(B84,'Rates from Tracker'!B:C,2,0)</f>
        <v>Best Pizza LLC</v>
      </c>
      <c r="B84" s="28" t="s">
        <v>481</v>
      </c>
      <c r="C84" s="11">
        <f>SUMIF(Calculations!G:G,B84,Calculations!L:L)</f>
        <v>1404.03</v>
      </c>
      <c r="D84" s="11" t="str">
        <f>IF(Table8[[#This Row],[Rate Increase?]]="Yes","",(VLOOKUP(B84,Calculations!G:K,5,0)*100)&amp;"% of "&amp;DOLLAR(SUMIF(Calculations!G:G,B84,Calculations!F:F),2)&amp;" "&amp;B84)</f>
        <v>5% of $28,080.60 Tower</v>
      </c>
      <c r="E84" s="11">
        <f>SUMIF(Calculations!G:G,B84,Calculations!J:J)</f>
        <v>561.6099999999999</v>
      </c>
      <c r="F84" t="str">
        <f>IF(Table8[[#This Row],[Location]]="Belmont Market",1,IF(Table8[[#This Row],[Location]]="Country Club Centre",1,IF(Table8[[#This Row],[Location]]="Naval Air Station Norfolk",0.5,2)))&amp;"% of "&amp;DOLLAR(SUMIF(Calculations!G:G,B84,Calculations!F:F),2)&amp;" "&amp;B84</f>
        <v>2% of $28,080.60 Tower</v>
      </c>
      <c r="G84" s="11" t="str">
        <f>IF((SUMIF(Calculations!$G:$G,Table8[[#This Row],[Location]],Calculations!$K:$K)/COUNTIF(Calculations!$G:$G,Table8[[#This Row],[Location]]))&lt;&gt;VLOOKUP(Table8[[#This Row],[Location]],Calculations!G:M,5,0),"Yes","")</f>
        <v/>
      </c>
      <c r="H84" s="11">
        <f>Table8[[#This Row],[CONTINUINGFEE - Net Value]]+Table8[[#This Row],[MARKETINGFEE - Net Value]]</f>
        <v>1965.6399999999999</v>
      </c>
    </row>
    <row r="85" spans="1:9" s="11" customFormat="1" hidden="1" x14ac:dyDescent="0.25">
      <c r="A85" t="str">
        <f>VLOOKUP(B85,'Rates from Tracker'!B:C,2,0)</f>
        <v>TSFR Pizza LLC</v>
      </c>
      <c r="B85" s="195" t="s">
        <v>506</v>
      </c>
      <c r="C85" s="11">
        <f>SUMIF(Calculations!G:G,B85,Calculations!L:L)</f>
        <v>0</v>
      </c>
      <c r="D85" s="11" t="e">
        <f>IF(Table8[[#This Row],[Rate Increase?]]="Yes","",(VLOOKUP(B85,Calculations!G:K,5,0)*100)&amp;"% of "&amp;DOLLAR(SUMIF(Calculations!G:G,B85,Calculations!F:F),2)&amp;" "&amp;B85)</f>
        <v>#DIV/0!</v>
      </c>
      <c r="E85" s="11">
        <f>SUMIF(Calculations!G:G,B85,Calculations!J:J)</f>
        <v>0</v>
      </c>
      <c r="F85" t="str">
        <f>IF(Table8[[#This Row],[Location]]="Belmont Market",1,IF(Table8[[#This Row],[Location]]="Country Club Centre",1,IF(Table8[[#This Row],[Location]]="Naval Air Station Norfolk",0.5,2)))&amp;"% of "&amp;DOLLAR(SUMIF(Calculations!G:G,B85,Calculations!F:F),2)&amp;" "&amp;B85</f>
        <v>2% of $0.00 Royal Oak</v>
      </c>
      <c r="G85" s="11" t="e">
        <f>IF((SUMIF(Calculations!$G:$G,Table8[[#This Row],[Location]],Calculations!$K:$K)/COUNTIF(Calculations!$G:$G,Table8[[#This Row],[Location]]))&lt;&gt;VLOOKUP(Table8[[#This Row],[Location]],Calculations!G:M,5,0),"Yes","")</f>
        <v>#DIV/0!</v>
      </c>
      <c r="H85" s="11">
        <f>Table8[[#This Row],[CONTINUINGFEE - Net Value]]+Table8[[#This Row],[MARKETINGFEE - Net Value]]</f>
        <v>0</v>
      </c>
      <c r="I85" s="11" t="s">
        <v>536</v>
      </c>
    </row>
    <row r="86" spans="1:9" s="11" customFormat="1" hidden="1" x14ac:dyDescent="0.25">
      <c r="A86" t="str">
        <f>VLOOKUP(B86,'Rates from Tracker'!B:C,2,0)</f>
        <v>Paceline Partners, LLC (OH)</v>
      </c>
      <c r="B86" s="7" t="s">
        <v>511</v>
      </c>
      <c r="C86" s="11">
        <f>SUMIF(Calculations!G:G,B86,Calculations!L:L)</f>
        <v>0</v>
      </c>
      <c r="D86" s="11" t="e">
        <f>IF(Table8[[#This Row],[Rate Increase?]]="Yes","",(VLOOKUP(B86,Calculations!G:K,5,0)*100)&amp;"% of "&amp;DOLLAR(SUMIF(Calculations!G:G,B86,Calculations!F:F),2)&amp;" "&amp;B86)</f>
        <v>#DIV/0!</v>
      </c>
      <c r="E86" s="11">
        <f>SUMIF(Calculations!G:G,B86,Calculations!J:J)</f>
        <v>0</v>
      </c>
      <c r="F86" t="str">
        <f>IF(Table8[[#This Row],[Location]]="Belmont Market",1,IF(Table8[[#This Row],[Location]]="Country Club Centre",1,IF(Table8[[#This Row],[Location]]="Naval Air Station Norfolk",0.5,2)))&amp;"% of "&amp;DOLLAR(SUMIF(Calculations!G:G,B86,Calculations!F:F),2)&amp;" "&amp;B86</f>
        <v>2% of $0.00 Terre Haute</v>
      </c>
      <c r="G86" s="11" t="e">
        <f>IF((SUMIF(Calculations!$G:$G,Table8[[#This Row],[Location]],Calculations!$K:$K)/COUNTIF(Calculations!$G:$G,Table8[[#This Row],[Location]]))&lt;&gt;VLOOKUP(Table8[[#This Row],[Location]],Calculations!G:M,5,0),"Yes","")</f>
        <v>#DIV/0!</v>
      </c>
      <c r="H86" s="11">
        <f>Table8[[#This Row],[CONTINUINGFEE - Net Value]]+Table8[[#This Row],[MARKETINGFEE - Net Value]]</f>
        <v>0</v>
      </c>
      <c r="I86" s="11" t="s">
        <v>536</v>
      </c>
    </row>
    <row r="87" spans="1:9" s="11" customFormat="1" hidden="1" x14ac:dyDescent="0.25">
      <c r="A87" t="str">
        <f>VLOOKUP(B87,'Rates from Tracker'!B:C,2,0)</f>
        <v>Paceline Partners, LLC (KS/MO)</v>
      </c>
      <c r="B87" s="7" t="s">
        <v>517</v>
      </c>
      <c r="C87" s="11">
        <f>SUMIF(Calculations!G:G,B87,Calculations!L:L)</f>
        <v>0</v>
      </c>
      <c r="D87" s="11" t="e">
        <f>IF(Table8[[#This Row],[Rate Increase?]]="Yes","",(VLOOKUP(B87,Calculations!G:K,5,0)*100)&amp;"% of "&amp;DOLLAR(SUMIF(Calculations!G:G,B87,Calculations!F:F),2)&amp;" "&amp;B87)</f>
        <v>#DIV/0!</v>
      </c>
      <c r="E87" s="11">
        <f>SUMIF(Calculations!G:G,B87,Calculations!J:J)</f>
        <v>0</v>
      </c>
      <c r="F87" t="str">
        <f>IF(Table8[[#This Row],[Location]]="Belmont Market",1,IF(Table8[[#This Row],[Location]]="Country Club Centre",1,IF(Table8[[#This Row],[Location]]="Naval Air Station Norfolk",0.5,2)))&amp;"% of "&amp;DOLLAR(SUMIF(Calculations!G:G,B87,Calculations!F:F),2)&amp;" "&amp;B87</f>
        <v>2% of $0.00 Lee's Summit</v>
      </c>
      <c r="G87" s="11" t="e">
        <f>IF((SUMIF(Calculations!$G:$G,Table8[[#This Row],[Location]],Calculations!$K:$K)/COUNTIF(Calculations!$G:$G,Table8[[#This Row],[Location]]))&lt;&gt;VLOOKUP(Table8[[#This Row],[Location]],Calculations!G:M,5,0),"Yes","")</f>
        <v>#DIV/0!</v>
      </c>
      <c r="H87" s="11">
        <f>Table8[[#This Row],[CONTINUINGFEE - Net Value]]+Table8[[#This Row],[MARKETINGFEE - Net Value]]</f>
        <v>0</v>
      </c>
      <c r="I87" s="11" t="s">
        <v>536</v>
      </c>
    </row>
    <row r="88" spans="1:9" s="11" customFormat="1" hidden="1" x14ac:dyDescent="0.25">
      <c r="A88" t="str">
        <f>VLOOKUP(B88,'Rates from Tracker'!B:C,2,0)</f>
        <v>Southern Pie LLC</v>
      </c>
      <c r="B88" s="28" t="s">
        <v>505</v>
      </c>
      <c r="C88" s="11">
        <f>SUMIF(Calculations!G:G,B88,Calculations!L:L)</f>
        <v>0</v>
      </c>
      <c r="D88" s="11" t="e">
        <f>IF(Table8[[#This Row],[Rate Increase?]]="Yes","",(VLOOKUP(B88,Calculations!G:K,5,0)*100)&amp;"% of "&amp;DOLLAR(SUMIF(Calculations!G:G,B88,Calculations!F:F),2)&amp;" "&amp;B88)</f>
        <v>#DIV/0!</v>
      </c>
      <c r="E88" s="11">
        <f>SUMIF(Calculations!G:G,B88,Calculations!J:J)</f>
        <v>0</v>
      </c>
      <c r="F88" t="str">
        <f>IF(Table8[[#This Row],[Location]]="Belmont Market",1,IF(Table8[[#This Row],[Location]]="Country Club Centre",1,IF(Table8[[#This Row],[Location]]="Naval Air Station Norfolk",0.5,2)))&amp;"% of "&amp;DOLLAR(SUMIF(Calculations!G:G,B88,Calculations!F:F),2)&amp;" "&amp;B88</f>
        <v>2% of $0.00 Buford</v>
      </c>
      <c r="G88" s="11" t="e">
        <f>IF((SUMIF(Calculations!$G:$G,Table8[[#This Row],[Location]],Calculations!$K:$K)/COUNTIF(Calculations!$G:$G,Table8[[#This Row],[Location]]))&lt;&gt;VLOOKUP(Table8[[#This Row],[Location]],Calculations!G:M,5,0),"Yes","")</f>
        <v>#DIV/0!</v>
      </c>
      <c r="H88" s="11">
        <f>Table8[[#This Row],[CONTINUINGFEE - Net Value]]+Table8[[#This Row],[MARKETINGFEE - Net Value]]</f>
        <v>0</v>
      </c>
      <c r="I88" s="11" t="s">
        <v>536</v>
      </c>
    </row>
    <row r="89" spans="1:9" s="11" customFormat="1" hidden="1" x14ac:dyDescent="0.25">
      <c r="A89" t="str">
        <f>VLOOKUP(B89,'Rates from Tracker'!B:C,2,0)</f>
        <v>Paceline Partners, LLC (OH)</v>
      </c>
      <c r="B89" s="208" t="s">
        <v>522</v>
      </c>
      <c r="C89" s="11">
        <f>SUMIF(Calculations!G:G,B89,Calculations!L:L)</f>
        <v>0</v>
      </c>
      <c r="D89" s="11" t="e">
        <f>IF(Table8[[#This Row],[Rate Increase?]]="Yes","",(VLOOKUP(B89,Calculations!G:K,5,0)*100)&amp;"% of "&amp;DOLLAR(SUMIF(Calculations!G:G,B89,Calculations!F:F),2)&amp;" "&amp;B89)</f>
        <v>#DIV/0!</v>
      </c>
      <c r="E89" s="11">
        <f>SUMIF(Calculations!G:G,B89,Calculations!J:J)</f>
        <v>0</v>
      </c>
      <c r="F89" t="str">
        <f>IF(Table8[[#This Row],[Location]]="Belmont Market",1,IF(Table8[[#This Row],[Location]]="Country Club Centre",1,IF(Table8[[#This Row],[Location]]="Naval Air Station Norfolk",0.5,2)))&amp;"% of "&amp;DOLLAR(SUMIF(Calculations!G:G,B89,Calculations!F:F),2)&amp;" "&amp;B89</f>
        <v>2% of $0.00 Lancaster</v>
      </c>
      <c r="G89" s="11" t="e">
        <f>IF((SUMIF(Calculations!$G:$G,Table8[[#This Row],[Location]],Calculations!$K:$K)/COUNTIF(Calculations!$G:$G,Table8[[#This Row],[Location]]))&lt;&gt;VLOOKUP(Table8[[#This Row],[Location]],Calculations!G:M,5,0),"Yes","")</f>
        <v>#DIV/0!</v>
      </c>
      <c r="H89" s="11">
        <f>Table8[[#This Row],[CONTINUINGFEE - Net Value]]+Table8[[#This Row],[MARKETINGFEE - Net Value]]</f>
        <v>0</v>
      </c>
      <c r="I89" s="11" t="s">
        <v>536</v>
      </c>
    </row>
    <row r="90" spans="1:9" s="11" customFormat="1" hidden="1" x14ac:dyDescent="0.25">
      <c r="A90" t="str">
        <f>VLOOKUP(B90,'Rates from Tracker'!B:C,2,0)</f>
        <v>Best Pizza LLC</v>
      </c>
      <c r="B90" s="208" t="s">
        <v>521</v>
      </c>
      <c r="C90" s="11">
        <f>SUMIF(Calculations!G:G,B90,Calculations!L:L)</f>
        <v>845.06000000000006</v>
      </c>
      <c r="D90" s="11" t="str">
        <f>IF(Table8[[#This Row],[Rate Increase?]]="Yes","",(VLOOKUP(B90,Calculations!G:K,5,0)*100)&amp;"% of "&amp;DOLLAR(SUMIF(Calculations!G:G,B90,Calculations!F:F),2)&amp;" "&amp;B90)</f>
        <v>5% of $16,900.94 Grand Junction</v>
      </c>
      <c r="E90" s="11">
        <f>SUMIF(Calculations!G:G,B90,Calculations!J:J)</f>
        <v>338.02000000000004</v>
      </c>
      <c r="F90" t="str">
        <f>IF(Table8[[#This Row],[Location]]="Belmont Market",1,IF(Table8[[#This Row],[Location]]="Country Club Centre",1,IF(Table8[[#This Row],[Location]]="Naval Air Station Norfolk",0.5,2)))&amp;"% of "&amp;DOLLAR(SUMIF(Calculations!G:G,B90,Calculations!F:F),2)&amp;" "&amp;B90</f>
        <v>2% of $16,900.94 Grand Junction</v>
      </c>
      <c r="G90" s="11" t="str">
        <f>IF((SUMIF(Calculations!$G:$G,Table8[[#This Row],[Location]],Calculations!$K:$K)/COUNTIF(Calculations!$G:$G,Table8[[#This Row],[Location]]))&lt;&gt;VLOOKUP(Table8[[#This Row],[Location]],Calculations!G:M,5,0),"Yes","")</f>
        <v/>
      </c>
      <c r="H90" s="11">
        <f>Table8[[#This Row],[CONTINUINGFEE - Net Value]]+Table8[[#This Row],[MARKETINGFEE - Net Value]]</f>
        <v>1183.0800000000002</v>
      </c>
    </row>
    <row r="91" spans="1:9" s="11" customFormat="1" hidden="1" x14ac:dyDescent="0.25">
      <c r="A91" t="str">
        <f>VLOOKUP(B91,'Rates from Tracker'!B:C,2,0)</f>
        <v>Paceline Partners, LLC (KS/MO)</v>
      </c>
      <c r="B91" s="215" t="s">
        <v>525</v>
      </c>
      <c r="C91" s="11">
        <f>SUMIF(Calculations!G:G,B91,Calculations!L:L)</f>
        <v>0</v>
      </c>
      <c r="D91" s="11" t="e">
        <f>IF(Table8[[#This Row],[Rate Increase?]]="Yes","",(VLOOKUP(B91,Calculations!G:K,5,0)*100)&amp;"% of "&amp;DOLLAR(SUMIF(Calculations!G:G,B91,Calculations!F:F),2)&amp;" "&amp;B91)</f>
        <v>#DIV/0!</v>
      </c>
      <c r="E91" s="11">
        <f>SUMIF(Calculations!G:G,B91,Calculations!J:J)</f>
        <v>0</v>
      </c>
      <c r="F91" t="str">
        <f>IF(Table8[[#This Row],[Location]]="Belmont Market",1,IF(Table8[[#This Row],[Location]]="Country Club Centre",1,IF(Table8[[#This Row],[Location]]="Naval Air Station Norfolk",0.5,2)))&amp;"% of "&amp;DOLLAR(SUMIF(Calculations!G:G,B91,Calculations!F:F),2)&amp;" "&amp;B91</f>
        <v>2% of $0.00 Lenexa</v>
      </c>
      <c r="G91" s="11" t="e">
        <f>IF((SUMIF(Calculations!$G:$G,Table8[[#This Row],[Location]],Calculations!$K:$K)/COUNTIF(Calculations!$G:$G,Table8[[#This Row],[Location]]))&lt;&gt;VLOOKUP(Table8[[#This Row],[Location]],Calculations!G:M,5,0),"Yes","")</f>
        <v>#DIV/0!</v>
      </c>
      <c r="H91" s="11">
        <f>Table8[[#This Row],[CONTINUINGFEE - Net Value]]+Table8[[#This Row],[MARKETINGFEE - Net Value]]</f>
        <v>0</v>
      </c>
      <c r="I91" s="11" t="s">
        <v>536</v>
      </c>
    </row>
    <row r="92" spans="1:9" s="11" customFormat="1" x14ac:dyDescent="0.25">
      <c r="A92" t="str">
        <f>VLOOKUP(B92,'Rates from Tracker'!B:C,2,0)</f>
        <v>V.I. Pizza Country Club</v>
      </c>
      <c r="B92" s="215" t="s">
        <v>526</v>
      </c>
      <c r="C92" s="11">
        <f>SUMIF(Calculations!G:G,B92,Calculations!L:L)</f>
        <v>91.51</v>
      </c>
      <c r="D92" s="11" t="str">
        <f>IF(Table8[[#This Row],[Rate Increase?]]="Yes","",(VLOOKUP(B92,Calculations!G:K,5,0)*100)&amp;"% of "&amp;DOLLAR(SUMIF(Calculations!G:G,B92,Calculations!F:F),2)&amp;" "&amp;B92)</f>
        <v>1% of $9,150.85 Country Club Centre</v>
      </c>
      <c r="E92" s="11">
        <f>SUMIF(Calculations!G:G,B92,Calculations!J:J)</f>
        <v>91.51</v>
      </c>
      <c r="F92" t="str">
        <f>IF(Table8[[#This Row],[Location]]="Belmont Market",1,IF(Table8[[#This Row],[Location]]="Country Club Centre",1,IF(Table8[[#This Row],[Location]]="Naval Air Station Norfolk",0.5,2)))&amp;"% of "&amp;DOLLAR(SUMIF(Calculations!G:G,B92,Calculations!F:F),2)&amp;" "&amp;B92</f>
        <v>1% of $9,150.85 Country Club Centre</v>
      </c>
      <c r="G92" s="11" t="str">
        <f>IF((SUMIF(Calculations!$G:$G,Table8[[#This Row],[Location]],Calculations!$K:$K)/COUNTIF(Calculations!$G:$G,Table8[[#This Row],[Location]]))&lt;&gt;VLOOKUP(Table8[[#This Row],[Location]],Calculations!G:M,5,0),"Yes","")</f>
        <v/>
      </c>
      <c r="H92" s="11">
        <f>Table8[[#This Row],[CONTINUINGFEE - Net Value]]+Table8[[#This Row],[MARKETINGFEE - Net Value]]</f>
        <v>183.02</v>
      </c>
    </row>
    <row r="93" spans="1:9" s="11" customFormat="1" hidden="1" x14ac:dyDescent="0.25">
      <c r="A93" t="str">
        <f>VLOOKUP(B93,'Rates from Tracker'!B:C,2,0)</f>
        <v>Best Pizza LLC</v>
      </c>
      <c r="B93" s="223" t="s">
        <v>535</v>
      </c>
      <c r="C93" s="11">
        <f>SUMIF(Calculations!G:G,B93,Calculations!L:L)</f>
        <v>385.01</v>
      </c>
      <c r="D93" s="11" t="str">
        <f>IF(Table8[[#This Row],[Rate Increase?]]="Yes","",(VLOOKUP(B93,Calculations!G:K,5,0)*100)&amp;"% of "&amp;DOLLAR(SUMIF(Calculations!G:G,B93,Calculations!F:F),2)&amp;" "&amp;B93)</f>
        <v>2% of $19,251.02 Creekwalk</v>
      </c>
      <c r="E93" s="11">
        <f>SUMIF(Calculations!G:G,B93,Calculations!J:J)</f>
        <v>385.01</v>
      </c>
      <c r="F93" t="str">
        <f>IF(Table8[[#This Row],[Location]]="Belmont Market",1,IF(Table8[[#This Row],[Location]]="Country Club Centre",1,IF(Table8[[#This Row],[Location]]="Naval Air Station Norfolk",0.5,2)))&amp;"% of "&amp;DOLLAR(SUMIF(Calculations!G:G,B93,Calculations!F:F),2)&amp;" "&amp;B93</f>
        <v>2% of $19,251.02 Creekwalk</v>
      </c>
      <c r="G93" s="11" t="str">
        <f>IF((SUMIF(Calculations!$G:$G,Table8[[#This Row],[Location]],Calculations!$K:$K)/COUNTIF(Calculations!$G:$G,Table8[[#This Row],[Location]]))&lt;&gt;VLOOKUP(Table8[[#This Row],[Location]],Calculations!G:M,5,0),"Yes","")</f>
        <v/>
      </c>
      <c r="H93" s="11">
        <f>Table8[[#This Row],[CONTINUINGFEE - Net Value]]+Table8[[#This Row],[MARKETINGFEE - Net Value]]</f>
        <v>770.02</v>
      </c>
    </row>
    <row r="94" spans="1:9" s="11" customFormat="1" hidden="1" x14ac:dyDescent="0.25">
      <c r="A94" t="str">
        <f>VLOOKUP(B94,'Rates from Tracker'!B:C,2,0)</f>
        <v>Exceed Group Churn Creek</v>
      </c>
      <c r="B94" s="231" t="s">
        <v>538</v>
      </c>
      <c r="C94" s="11">
        <f>SUMIF(Calculations!G:G,B94,Calculations!L:L)</f>
        <v>1293.9099999999999</v>
      </c>
      <c r="D94" s="11" t="str">
        <f>IF(Table8[[#This Row],[Rate Increase?]]="Yes","",(VLOOKUP(B94,Calculations!G:K,5,0)*100)&amp;"% of "&amp;DOLLAR(SUMIF(Calculations!G:G,B94,Calculations!F:F),2)&amp;" "&amp;B94)</f>
        <v>5% of $25,878.09 Churn Creek</v>
      </c>
      <c r="E94" s="11">
        <f>SUMIF(Calculations!G:G,B94,Calculations!J:J)</f>
        <v>517.54999999999995</v>
      </c>
      <c r="F94" t="str">
        <f>IF(Table8[[#This Row],[Location]]="Belmont Market",1,IF(Table8[[#This Row],[Location]]="Country Club Centre",1,IF(Table8[[#This Row],[Location]]="Naval Air Station Norfolk",0.5,2)))&amp;"% of "&amp;DOLLAR(SUMIF(Calculations!G:G,B94,Calculations!F:F),2)&amp;" "&amp;B94</f>
        <v>2% of $25,878.09 Churn Creek</v>
      </c>
      <c r="G94" s="11" t="str">
        <f>IF((SUMIF(Calculations!$G:$G,Table8[[#This Row],[Location]],Calculations!$K:$K)/COUNTIF(Calculations!$G:$G,Table8[[#This Row],[Location]]))&lt;&gt;VLOOKUP(Table8[[#This Row],[Location]],Calculations!G:M,5,0),"Yes","")</f>
        <v/>
      </c>
      <c r="H94" s="11">
        <f>Table8[[#This Row],[CONTINUINGFEE - Net Value]]+Table8[[#This Row],[MARKETINGFEE - Net Value]]</f>
        <v>1811.4599999999998</v>
      </c>
    </row>
    <row r="95" spans="1:9" s="11" customFormat="1" hidden="1" x14ac:dyDescent="0.25">
      <c r="A95" t="str">
        <f>VLOOKUP(B95,'Rates from Tracker'!B:C,2,0)</f>
        <v>IDAD-5 Inc</v>
      </c>
      <c r="B95" t="s">
        <v>542</v>
      </c>
      <c r="C95" s="11">
        <f>SUMIF(Calculations!G:G,B95,Calculations!L:L)</f>
        <v>174.64000000000001</v>
      </c>
      <c r="D95" s="11" t="str">
        <f>IF(Table8[[#This Row],[Rate Increase?]]="Yes","",(VLOOKUP(B95,Calculations!G:K,5,0)*100)&amp;"% of "&amp;DOLLAR(SUMIF(Calculations!G:G,B95,Calculations!F:F),2)&amp;" "&amp;B95)</f>
        <v>2% of $8,731.76 Naval Air Station Norfolk</v>
      </c>
      <c r="E95" s="11">
        <f>SUMIF(Calculations!G:G,B95,Calculations!J:J)</f>
        <v>43.660000000000004</v>
      </c>
      <c r="F95" t="str">
        <f>IF(Table8[[#This Row],[Location]]="Belmont Market",1,IF(Table8[[#This Row],[Location]]="Country Club Centre",1,IF(Table8[[#This Row],[Location]]="Naval Air Station Norfolk",0.5,2)))&amp;"% of "&amp;DOLLAR(SUMIF(Calculations!G:G,B95,Calculations!F:F),2)&amp;" "&amp;B95</f>
        <v>0.5% of $8,731.76 Naval Air Station Norfolk</v>
      </c>
      <c r="G95" s="11" t="str">
        <f>IF((SUMIF(Calculations!$G:$G,Table8[[#This Row],[Location]],Calculations!$K:$K)/COUNTIF(Calculations!$G:$G,Table8[[#This Row],[Location]]))&lt;&gt;VLOOKUP(Table8[[#This Row],[Location]],Calculations!G:M,5,0),"Yes","")</f>
        <v/>
      </c>
      <c r="H95" s="11">
        <f>Table8[[#This Row],[CONTINUINGFEE - Net Value]]+Table8[[#This Row],[MARKETINGFEE - Net Value]]</f>
        <v>218.3</v>
      </c>
    </row>
    <row r="96" spans="1:9" s="11" customFormat="1" hidden="1" x14ac:dyDescent="0.25">
      <c r="A96" t="str">
        <f>VLOOKUP(B96,'Rates from Tracker'!B:C,2,0)</f>
        <v>SSR Holdings LLC</v>
      </c>
      <c r="B96" s="231" t="s">
        <v>569</v>
      </c>
      <c r="C96" s="11">
        <f>SUMIF(Calculations!G:G,B96,Calculations!L:L)</f>
        <v>164.62</v>
      </c>
      <c r="D96" s="11" t="str">
        <f>IF(Table8[[#This Row],[Rate Increase?]]="Yes","",(VLOOKUP(B96,Calculations!G:K,5,0)*100)&amp;"% of "&amp;DOLLAR(SUMIF(Calculations!G:G,B96,Calculations!F:F),2)&amp;" "&amp;B96)</f>
        <v>1% of $16,461.14 American Fork</v>
      </c>
      <c r="E96" s="11">
        <f>SUMIF(Calculations!G:G,B96,Calculations!J:J)</f>
        <v>329.22999999999996</v>
      </c>
      <c r="F96" t="str">
        <f>IF(Table8[[#This Row],[Location]]="Belmont Market",1,IF(Table8[[#This Row],[Location]]="Country Club Centre",1,IF(Table8[[#This Row],[Location]]="Naval Air Station Norfolk",0.5,2)))&amp;"% of "&amp;DOLLAR(SUMIF(Calculations!G:G,B96,Calculations!F:F),2)&amp;" "&amp;B96</f>
        <v>2% of $16,461.14 American Fork</v>
      </c>
      <c r="G96" s="11" t="str">
        <f>IF((SUMIF(Calculations!$G:$G,Table8[[#This Row],[Location]],Calculations!$K:$K)/COUNTIF(Calculations!$G:$G,Table8[[#This Row],[Location]]))&lt;&gt;VLOOKUP(Table8[[#This Row],[Location]],Calculations!G:M,5,0),"Yes","")</f>
        <v/>
      </c>
      <c r="H96" s="11">
        <f>Table8[[#This Row],[CONTINUINGFEE - Net Value]]+Table8[[#This Row],[MARKETINGFEE - Net Value]]</f>
        <v>493.84999999999997</v>
      </c>
    </row>
    <row r="97" spans="1:8" s="11" customFormat="1" hidden="1" x14ac:dyDescent="0.25">
      <c r="A97" t="str">
        <f>VLOOKUP(B97,'Rates from Tracker'!B:C,2,0)</f>
        <v>SSR Holdings LLC</v>
      </c>
      <c r="B97" s="231" t="s">
        <v>570</v>
      </c>
      <c r="C97" s="11">
        <f>SUMIF(Calculations!G:G,B97,Calculations!L:L)</f>
        <v>121.23999999999998</v>
      </c>
      <c r="D97" s="11" t="str">
        <f>IF(Table8[[#This Row],[Rate Increase?]]="Yes","",(VLOOKUP(B97,Calculations!G:K,5,0)*100)&amp;"% of "&amp;DOLLAR(SUMIF(Calculations!G:G,B97,Calculations!F:F),2)&amp;" "&amp;B97)</f>
        <v>1% of $12,123.27 Ammon</v>
      </c>
      <c r="E97" s="11">
        <f>SUMIF(Calculations!G:G,B97,Calculations!J:J)</f>
        <v>242.45999999999995</v>
      </c>
      <c r="F97" t="str">
        <f>IF(Table8[[#This Row],[Location]]="Belmont Market",1,IF(Table8[[#This Row],[Location]]="Country Club Centre",1,IF(Table8[[#This Row],[Location]]="Naval Air Station Norfolk",0.5,2)))&amp;"% of "&amp;DOLLAR(SUMIF(Calculations!G:G,B97,Calculations!F:F),2)&amp;" "&amp;B97</f>
        <v>2% of $12,123.27 Ammon</v>
      </c>
      <c r="G97" s="11" t="str">
        <f>IF((SUMIF(Calculations!$G:$G,Table8[[#This Row],[Location]],Calculations!$K:$K)/COUNTIF(Calculations!$G:$G,Table8[[#This Row],[Location]]))&lt;&gt;VLOOKUP(Table8[[#This Row],[Location]],Calculations!G:M,5,0),"Yes","")</f>
        <v/>
      </c>
      <c r="H97" s="11">
        <f>Table8[[#This Row],[CONTINUINGFEE - Net Value]]+Table8[[#This Row],[MARKETINGFEE - Net Value]]</f>
        <v>363.69999999999993</v>
      </c>
    </row>
    <row r="98" spans="1:8" s="11" customFormat="1" hidden="1" x14ac:dyDescent="0.25">
      <c r="A98" t="str">
        <f>VLOOKUP(B98,'Rates from Tracker'!B:C,2,0)</f>
        <v>SSR Holdings LLC</v>
      </c>
      <c r="B98" s="231" t="s">
        <v>571</v>
      </c>
      <c r="C98" s="11">
        <f>SUMIF(Calculations!G:G,B98,Calculations!L:L)</f>
        <v>205.68</v>
      </c>
      <c r="D98" s="11" t="str">
        <f>IF(Table8[[#This Row],[Rate Increase?]]="Yes","",(VLOOKUP(B98,Calculations!G:K,5,0)*100)&amp;"% of "&amp;DOLLAR(SUMIF(Calculations!G:G,B98,Calculations!F:F),2)&amp;" "&amp;B98)</f>
        <v>1% of $20,567.73 Bend</v>
      </c>
      <c r="E98" s="11">
        <f>SUMIF(Calculations!G:G,B98,Calculations!J:J)</f>
        <v>411.36</v>
      </c>
      <c r="F98" t="str">
        <f>IF(Table8[[#This Row],[Location]]="Belmont Market",1,IF(Table8[[#This Row],[Location]]="Country Club Centre",1,IF(Table8[[#This Row],[Location]]="Naval Air Station Norfolk",0.5,2)))&amp;"% of "&amp;DOLLAR(SUMIF(Calculations!G:G,B98,Calculations!F:F),2)&amp;" "&amp;B98</f>
        <v>2% of $20,567.73 Bend</v>
      </c>
      <c r="G98" s="11" t="str">
        <f>IF((SUMIF(Calculations!$G:$G,Table8[[#This Row],[Location]],Calculations!$K:$K)/COUNTIF(Calculations!$G:$G,Table8[[#This Row],[Location]]))&lt;&gt;VLOOKUP(Table8[[#This Row],[Location]],Calculations!G:M,5,0),"Yes","")</f>
        <v/>
      </c>
      <c r="H98" s="11">
        <f>Table8[[#This Row],[CONTINUINGFEE - Net Value]]+Table8[[#This Row],[MARKETINGFEE - Net Value]]</f>
        <v>617.04</v>
      </c>
    </row>
    <row r="99" spans="1:8" s="11" customFormat="1" hidden="1" x14ac:dyDescent="0.25">
      <c r="A99" t="str">
        <f>VLOOKUP(B99,'Rates from Tracker'!B:C,2,0)</f>
        <v>SSR Holdings LLC</v>
      </c>
      <c r="B99" s="231" t="s">
        <v>572</v>
      </c>
      <c r="C99" s="11">
        <f>SUMIF(Calculations!G:G,B99,Calculations!L:L)</f>
        <v>266.25</v>
      </c>
      <c r="D99" s="11" t="str">
        <f>IF(Table8[[#This Row],[Rate Increase?]]="Yes","",(VLOOKUP(B99,Calculations!G:K,5,0)*100)&amp;"% of "&amp;DOLLAR(SUMIF(Calculations!G:G,B99,Calculations!F:F),2)&amp;" "&amp;B99)</f>
        <v>1% of $26,624.02 Bend North</v>
      </c>
      <c r="E99" s="11">
        <f>SUMIF(Calculations!G:G,B99,Calculations!J:J)</f>
        <v>532.48</v>
      </c>
      <c r="F99" t="str">
        <f>IF(Table8[[#This Row],[Location]]="Belmont Market",1,IF(Table8[[#This Row],[Location]]="Country Club Centre",1,IF(Table8[[#This Row],[Location]]="Naval Air Station Norfolk",0.5,2)))&amp;"% of "&amp;DOLLAR(SUMIF(Calculations!G:G,B99,Calculations!F:F),2)&amp;" "&amp;B99</f>
        <v>2% of $26,624.02 Bend North</v>
      </c>
      <c r="G99" s="11" t="str">
        <f>IF((SUMIF(Calculations!$G:$G,Table8[[#This Row],[Location]],Calculations!$K:$K)/COUNTIF(Calculations!$G:$G,Table8[[#This Row],[Location]]))&lt;&gt;VLOOKUP(Table8[[#This Row],[Location]],Calculations!G:M,5,0),"Yes","")</f>
        <v/>
      </c>
      <c r="H99" s="11">
        <f>Table8[[#This Row],[CONTINUINGFEE - Net Value]]+Table8[[#This Row],[MARKETINGFEE - Net Value]]</f>
        <v>798.73</v>
      </c>
    </row>
    <row r="100" spans="1:8" s="11" customFormat="1" hidden="1" x14ac:dyDescent="0.25">
      <c r="A100" t="str">
        <f>VLOOKUP(B100,'Rates from Tracker'!B:C,2,0)</f>
        <v>SSR Holdings LLC</v>
      </c>
      <c r="B100" s="231" t="s">
        <v>573</v>
      </c>
      <c r="C100" s="11">
        <f>SUMIF(Calculations!G:G,B100,Calculations!L:L)</f>
        <v>136.9</v>
      </c>
      <c r="D100" s="11" t="str">
        <f>IF(Table8[[#This Row],[Rate Increase?]]="Yes","",(VLOOKUP(B100,Calculations!G:K,5,0)*100)&amp;"% of "&amp;DOLLAR(SUMIF(Calculations!G:G,B100,Calculations!F:F),2)&amp;" "&amp;B100)</f>
        <v>1% of $13,690.08 Boise Town Square</v>
      </c>
      <c r="E100" s="11">
        <f>SUMIF(Calculations!G:G,B100,Calculations!J:J)</f>
        <v>273.79000000000002</v>
      </c>
      <c r="F100" t="str">
        <f>IF(Table8[[#This Row],[Location]]="Belmont Market",1,IF(Table8[[#This Row],[Location]]="Country Club Centre",1,IF(Table8[[#This Row],[Location]]="Naval Air Station Norfolk",0.5,2)))&amp;"% of "&amp;DOLLAR(SUMIF(Calculations!G:G,B100,Calculations!F:F),2)&amp;" "&amp;B100</f>
        <v>2% of $13,690.08 Boise Town Square</v>
      </c>
      <c r="G100" s="11" t="str">
        <f>IF((SUMIF(Calculations!$G:$G,Table8[[#This Row],[Location]],Calculations!$K:$K)/COUNTIF(Calculations!$G:$G,Table8[[#This Row],[Location]]))&lt;&gt;VLOOKUP(Table8[[#This Row],[Location]],Calculations!G:M,5,0),"Yes","")</f>
        <v/>
      </c>
      <c r="H100" s="11">
        <f>Table8[[#This Row],[CONTINUINGFEE - Net Value]]+Table8[[#This Row],[MARKETINGFEE - Net Value]]</f>
        <v>410.69000000000005</v>
      </c>
    </row>
    <row r="101" spans="1:8" s="11" customFormat="1" hidden="1" x14ac:dyDescent="0.25">
      <c r="A101" t="str">
        <f>VLOOKUP(B101,'Rates from Tracker'!B:C,2,0)</f>
        <v>SSR Holdings LLC</v>
      </c>
      <c r="B101" s="231" t="s">
        <v>574</v>
      </c>
      <c r="C101" s="11">
        <f>SUMIF(Calculations!G:G,B101,Calculations!L:L)</f>
        <v>143.34</v>
      </c>
      <c r="D101" s="11" t="str">
        <f>IF(Table8[[#This Row],[Rate Increase?]]="Yes","",(VLOOKUP(B101,Calculations!G:K,5,0)*100)&amp;"% of "&amp;DOLLAR(SUMIF(Calculations!G:G,B101,Calculations!F:F),2)&amp;" "&amp;B101)</f>
        <v>1% of $14,335.70 Downtown Boise</v>
      </c>
      <c r="E101" s="11">
        <f>SUMIF(Calculations!G:G,B101,Calculations!J:J)</f>
        <v>286.72000000000003</v>
      </c>
      <c r="F101" t="str">
        <f>IF(Table8[[#This Row],[Location]]="Belmont Market",1,IF(Table8[[#This Row],[Location]]="Country Club Centre",1,IF(Table8[[#This Row],[Location]]="Naval Air Station Norfolk",0.5,2)))&amp;"% of "&amp;DOLLAR(SUMIF(Calculations!G:G,B101,Calculations!F:F),2)&amp;" "&amp;B101</f>
        <v>2% of $14,335.70 Downtown Boise</v>
      </c>
      <c r="G101" s="11" t="str">
        <f>IF((SUMIF(Calculations!$G:$G,Table8[[#This Row],[Location]],Calculations!$K:$K)/COUNTIF(Calculations!$G:$G,Table8[[#This Row],[Location]]))&lt;&gt;VLOOKUP(Table8[[#This Row],[Location]],Calculations!G:M,5,0),"Yes","")</f>
        <v/>
      </c>
      <c r="H101" s="11">
        <f>Table8[[#This Row],[CONTINUINGFEE - Net Value]]+Table8[[#This Row],[MARKETINGFEE - Net Value]]</f>
        <v>430.06000000000006</v>
      </c>
    </row>
    <row r="102" spans="1:8" s="11" customFormat="1" hidden="1" x14ac:dyDescent="0.25">
      <c r="A102" t="str">
        <f>VLOOKUP(B102,'Rates from Tracker'!B:C,2,0)</f>
        <v>SSR Holdings LLC</v>
      </c>
      <c r="B102" s="231" t="s">
        <v>575</v>
      </c>
      <c r="C102" s="11">
        <f>SUMIF(Calculations!G:G,B102,Calculations!L:L)</f>
        <v>173.55999999999997</v>
      </c>
      <c r="D102" s="11" t="str">
        <f>IF(Table8[[#This Row],[Rate Increase?]]="Yes","",(VLOOKUP(B102,Calculations!G:K,5,0)*100)&amp;"% of "&amp;DOLLAR(SUMIF(Calculations!G:G,B102,Calculations!F:F),2)&amp;" "&amp;B102)</f>
        <v>1% of $17,354.98 Fort Union</v>
      </c>
      <c r="E102" s="11">
        <f>SUMIF(Calculations!G:G,B102,Calculations!J:J)</f>
        <v>347.11</v>
      </c>
      <c r="F102" t="str">
        <f>IF(Table8[[#This Row],[Location]]="Belmont Market",1,IF(Table8[[#This Row],[Location]]="Country Club Centre",1,IF(Table8[[#This Row],[Location]]="Naval Air Station Norfolk",0.5,2)))&amp;"% of "&amp;DOLLAR(SUMIF(Calculations!G:G,B102,Calculations!F:F),2)&amp;" "&amp;B102</f>
        <v>2% of $17,354.98 Fort Union</v>
      </c>
      <c r="G102" s="11" t="str">
        <f>IF((SUMIF(Calculations!$G:$G,Table8[[#This Row],[Location]],Calculations!$K:$K)/COUNTIF(Calculations!$G:$G,Table8[[#This Row],[Location]]))&lt;&gt;VLOOKUP(Table8[[#This Row],[Location]],Calculations!G:M,5,0),"Yes","")</f>
        <v/>
      </c>
      <c r="H102" s="11">
        <f>Table8[[#This Row],[CONTINUINGFEE - Net Value]]+Table8[[#This Row],[MARKETINGFEE - Net Value]]</f>
        <v>520.66999999999996</v>
      </c>
    </row>
    <row r="103" spans="1:8" s="11" customFormat="1" hidden="1" x14ac:dyDescent="0.25">
      <c r="A103" t="str">
        <f>VLOOKUP(B103,'Rates from Tracker'!B:C,2,0)</f>
        <v>SSR Holdings LLC</v>
      </c>
      <c r="B103" s="231" t="s">
        <v>576</v>
      </c>
      <c r="C103" s="11">
        <f>SUMIF(Calculations!G:G,B103,Calculations!L:L)</f>
        <v>194.52</v>
      </c>
      <c r="D103" s="11" t="str">
        <f>IF(Table8[[#This Row],[Rate Increase?]]="Yes","",(VLOOKUP(B103,Calculations!G:K,5,0)*100)&amp;"% of "&amp;DOLLAR(SUMIF(Calculations!G:G,B103,Calculations!F:F),2)&amp;" "&amp;B103)</f>
        <v>1% of $19,452.38 Grants Pass</v>
      </c>
      <c r="E103" s="11">
        <f>SUMIF(Calculations!G:G,B103,Calculations!J:J)</f>
        <v>389.05</v>
      </c>
      <c r="F103" t="str">
        <f>IF(Table8[[#This Row],[Location]]="Belmont Market",1,IF(Table8[[#This Row],[Location]]="Country Club Centre",1,IF(Table8[[#This Row],[Location]]="Naval Air Station Norfolk",0.5,2)))&amp;"% of "&amp;DOLLAR(SUMIF(Calculations!G:G,B103,Calculations!F:F),2)&amp;" "&amp;B103</f>
        <v>2% of $19,452.38 Grants Pass</v>
      </c>
      <c r="G103" s="11" t="str">
        <f>IF((SUMIF(Calculations!$G:$G,Table8[[#This Row],[Location]],Calculations!$K:$K)/COUNTIF(Calculations!$G:$G,Table8[[#This Row],[Location]]))&lt;&gt;VLOOKUP(Table8[[#This Row],[Location]],Calculations!G:M,5,0),"Yes","")</f>
        <v/>
      </c>
      <c r="H103" s="11">
        <f>Table8[[#This Row],[CONTINUINGFEE - Net Value]]+Table8[[#This Row],[MARKETINGFEE - Net Value]]</f>
        <v>583.57000000000005</v>
      </c>
    </row>
    <row r="104" spans="1:8" s="11" customFormat="1" hidden="1" x14ac:dyDescent="0.25">
      <c r="A104" t="str">
        <f>VLOOKUP(B104,'Rates from Tracker'!B:C,2,0)</f>
        <v>SSR Holdings LLC</v>
      </c>
      <c r="B104" s="231" t="s">
        <v>577</v>
      </c>
      <c r="C104" s="11">
        <f>SUMIF(Calculations!G:G,B104,Calculations!L:L)</f>
        <v>149.18</v>
      </c>
      <c r="D104" s="11" t="str">
        <f>IF(Table8[[#This Row],[Rate Increase?]]="Yes","",(VLOOKUP(B104,Calculations!G:K,5,0)*100)&amp;"% of "&amp;DOLLAR(SUMIF(Calculations!G:G,B104,Calculations!F:F),2)&amp;" "&amp;B104)</f>
        <v>1% of $14,919.34 Layton</v>
      </c>
      <c r="E104" s="11">
        <f>SUMIF(Calculations!G:G,B104,Calculations!J:J)</f>
        <v>298.39000000000004</v>
      </c>
      <c r="F104" t="str">
        <f>IF(Table8[[#This Row],[Location]]="Belmont Market",1,IF(Table8[[#This Row],[Location]]="Country Club Centre",1,IF(Table8[[#This Row],[Location]]="Naval Air Station Norfolk",0.5,2)))&amp;"% of "&amp;DOLLAR(SUMIF(Calculations!G:G,B104,Calculations!F:F),2)&amp;" "&amp;B104</f>
        <v>2% of $14,919.34 Layton</v>
      </c>
      <c r="G104" s="11" t="str">
        <f>IF((SUMIF(Calculations!$G:$G,Table8[[#This Row],[Location]],Calculations!$K:$K)/COUNTIF(Calculations!$G:$G,Table8[[#This Row],[Location]]))&lt;&gt;VLOOKUP(Table8[[#This Row],[Location]],Calculations!G:M,5,0),"Yes","")</f>
        <v/>
      </c>
      <c r="H104" s="11">
        <f>Table8[[#This Row],[CONTINUINGFEE - Net Value]]+Table8[[#This Row],[MARKETINGFEE - Net Value]]</f>
        <v>447.57000000000005</v>
      </c>
    </row>
    <row r="105" spans="1:8" s="11" customFormat="1" hidden="1" x14ac:dyDescent="0.25">
      <c r="A105" t="str">
        <f>VLOOKUP(B105,'Rates from Tracker'!B:C,2,0)</f>
        <v>SSR Holdings LLC</v>
      </c>
      <c r="B105" s="231" t="s">
        <v>578</v>
      </c>
      <c r="C105" s="11">
        <f>SUMIF(Calculations!G:G,B105,Calculations!L:L)</f>
        <v>228.13</v>
      </c>
      <c r="D105" s="11" t="str">
        <f>IF(Table8[[#This Row],[Rate Increase?]]="Yes","",(VLOOKUP(B105,Calculations!G:K,5,0)*100)&amp;"% of "&amp;DOLLAR(SUMIF(Calculations!G:G,B105,Calculations!F:F),2)&amp;" "&amp;B105)</f>
        <v>1% of $22,814.38 North Medford</v>
      </c>
      <c r="E105" s="11">
        <f>SUMIF(Calculations!G:G,B105,Calculations!J:J)</f>
        <v>456.28</v>
      </c>
      <c r="F105" t="str">
        <f>IF(Table8[[#This Row],[Location]]="Belmont Market",1,IF(Table8[[#This Row],[Location]]="Country Club Centre",1,IF(Table8[[#This Row],[Location]]="Naval Air Station Norfolk",0.5,2)))&amp;"% of "&amp;DOLLAR(SUMIF(Calculations!G:G,B105,Calculations!F:F),2)&amp;" "&amp;B105</f>
        <v>2% of $22,814.38 North Medford</v>
      </c>
      <c r="G105" s="11" t="str">
        <f>IF((SUMIF(Calculations!$G:$G,Table8[[#This Row],[Location]],Calculations!$K:$K)/COUNTIF(Calculations!$G:$G,Table8[[#This Row],[Location]]))&lt;&gt;VLOOKUP(Table8[[#This Row],[Location]],Calculations!G:M,5,0),"Yes","")</f>
        <v/>
      </c>
      <c r="H105" s="11">
        <f>Table8[[#This Row],[CONTINUINGFEE - Net Value]]+Table8[[#This Row],[MARKETINGFEE - Net Value]]</f>
        <v>684.41</v>
      </c>
    </row>
    <row r="106" spans="1:8" s="11" customFormat="1" hidden="1" x14ac:dyDescent="0.25">
      <c r="A106" t="str">
        <f>VLOOKUP(B106,'Rates from Tracker'!B:C,2,0)</f>
        <v>SSR Holdings LLC</v>
      </c>
      <c r="B106" s="231" t="s">
        <v>579</v>
      </c>
      <c r="C106" s="11">
        <f>SUMIF(Calculations!G:G,B106,Calculations!L:L)</f>
        <v>230.88</v>
      </c>
      <c r="D106" s="11" t="str">
        <f>IF(Table8[[#This Row],[Rate Increase?]]="Yes","",(VLOOKUP(B106,Calculations!G:K,5,0)*100)&amp;"% of "&amp;DOLLAR(SUMIF(Calculations!G:G,B106,Calculations!F:F),2)&amp;" "&amp;B106)</f>
        <v>1% of $23,088.13 Oakway</v>
      </c>
      <c r="E106" s="11">
        <f>SUMIF(Calculations!G:G,B106,Calculations!J:J)</f>
        <v>461.76</v>
      </c>
      <c r="F106" t="str">
        <f>IF(Table8[[#This Row],[Location]]="Belmont Market",1,IF(Table8[[#This Row],[Location]]="Country Club Centre",1,IF(Table8[[#This Row],[Location]]="Naval Air Station Norfolk",0.5,2)))&amp;"% of "&amp;DOLLAR(SUMIF(Calculations!G:G,B106,Calculations!F:F),2)&amp;" "&amp;B106</f>
        <v>2% of $23,088.13 Oakway</v>
      </c>
      <c r="G106" s="11" t="str">
        <f>IF((SUMIF(Calculations!$G:$G,Table8[[#This Row],[Location]],Calculations!$K:$K)/COUNTIF(Calculations!$G:$G,Table8[[#This Row],[Location]]))&lt;&gt;VLOOKUP(Table8[[#This Row],[Location]],Calculations!G:M,5,0),"Yes","")</f>
        <v/>
      </c>
      <c r="H106" s="11">
        <f>Table8[[#This Row],[CONTINUINGFEE - Net Value]]+Table8[[#This Row],[MARKETINGFEE - Net Value]]</f>
        <v>692.64</v>
      </c>
    </row>
    <row r="107" spans="1:8" s="11" customFormat="1" hidden="1" x14ac:dyDescent="0.25">
      <c r="A107" t="str">
        <f>VLOOKUP(B107,'Rates from Tracker'!B:C,2,0)</f>
        <v>SSR Holdings LLC</v>
      </c>
      <c r="B107" s="231" t="s">
        <v>580</v>
      </c>
      <c r="C107" s="11">
        <f>SUMIF(Calculations!G:G,B107,Calculations!L:L)</f>
        <v>205.98999999999998</v>
      </c>
      <c r="D107" s="11" t="str">
        <f>IF(Table8[[#This Row],[Rate Increase?]]="Yes","",(VLOOKUP(B107,Calculations!G:K,5,0)*100)&amp;"% of "&amp;DOLLAR(SUMIF(Calculations!G:G,B107,Calculations!F:F),2)&amp;" "&amp;B107)</f>
        <v>1% of $20,598.66 Park City</v>
      </c>
      <c r="E107" s="11">
        <f>SUMIF(Calculations!G:G,B107,Calculations!J:J)</f>
        <v>411.96</v>
      </c>
      <c r="F107" t="str">
        <f>IF(Table8[[#This Row],[Location]]="Belmont Market",1,IF(Table8[[#This Row],[Location]]="Country Club Centre",1,IF(Table8[[#This Row],[Location]]="Naval Air Station Norfolk",0.5,2)))&amp;"% of "&amp;DOLLAR(SUMIF(Calculations!G:G,B107,Calculations!F:F),2)&amp;" "&amp;B107</f>
        <v>2% of $20,598.66 Park City</v>
      </c>
      <c r="G107" s="11" t="str">
        <f>IF((SUMIF(Calculations!$G:$G,Table8[[#This Row],[Location]],Calculations!$K:$K)/COUNTIF(Calculations!$G:$G,Table8[[#This Row],[Location]]))&lt;&gt;VLOOKUP(Table8[[#This Row],[Location]],Calculations!G:M,5,0),"Yes","")</f>
        <v/>
      </c>
      <c r="H107" s="11">
        <f>Table8[[#This Row],[CONTINUINGFEE - Net Value]]+Table8[[#This Row],[MARKETINGFEE - Net Value]]</f>
        <v>617.94999999999993</v>
      </c>
    </row>
    <row r="108" spans="1:8" s="11" customFormat="1" hidden="1" x14ac:dyDescent="0.25">
      <c r="A108" t="str">
        <f>VLOOKUP(B108,'Rates from Tracker'!B:C,2,0)</f>
        <v>SSR Holdings LLC</v>
      </c>
      <c r="B108" s="231" t="s">
        <v>581</v>
      </c>
      <c r="C108" s="11">
        <f>SUMIF(Calculations!G:G,B108,Calculations!L:L)</f>
        <v>105.41</v>
      </c>
      <c r="D108" s="11" t="str">
        <f>IF(Table8[[#This Row],[Rate Increase?]]="Yes","",(VLOOKUP(B108,Calculations!G:K,5,0)*100)&amp;"% of "&amp;DOLLAR(SUMIF(Calculations!G:G,B108,Calculations!F:F),2)&amp;" "&amp;B108)</f>
        <v>1% of $10,540.42 Pocatello</v>
      </c>
      <c r="E108" s="11">
        <f>SUMIF(Calculations!G:G,B108,Calculations!J:J)</f>
        <v>210.81</v>
      </c>
      <c r="F108" t="str">
        <f>IF(Table8[[#This Row],[Location]]="Belmont Market",1,IF(Table8[[#This Row],[Location]]="Country Club Centre",1,IF(Table8[[#This Row],[Location]]="Naval Air Station Norfolk",0.5,2)))&amp;"% of "&amp;DOLLAR(SUMIF(Calculations!G:G,B108,Calculations!F:F),2)&amp;" "&amp;B108</f>
        <v>2% of $10,540.42 Pocatello</v>
      </c>
      <c r="G108" s="11" t="str">
        <f>IF((SUMIF(Calculations!$G:$G,Table8[[#This Row],[Location]],Calculations!$K:$K)/COUNTIF(Calculations!$G:$G,Table8[[#This Row],[Location]]))&lt;&gt;VLOOKUP(Table8[[#This Row],[Location]],Calculations!G:M,5,0),"Yes","")</f>
        <v/>
      </c>
      <c r="H108" s="11">
        <f>Table8[[#This Row],[CONTINUINGFEE - Net Value]]+Table8[[#This Row],[MARKETINGFEE - Net Value]]</f>
        <v>316.22000000000003</v>
      </c>
    </row>
    <row r="109" spans="1:8" s="11" customFormat="1" hidden="1" x14ac:dyDescent="0.25">
      <c r="A109" t="str">
        <f>VLOOKUP(B109,'Rates from Tracker'!B:C,2,0)</f>
        <v>SSR Holdings LLC</v>
      </c>
      <c r="B109" s="231" t="s">
        <v>582</v>
      </c>
      <c r="C109" s="11">
        <f>SUMIF(Calculations!G:G,B109,Calculations!L:L)</f>
        <v>164.67000000000002</v>
      </c>
      <c r="D109" s="11" t="str">
        <f>IF(Table8[[#This Row],[Rate Increase?]]="Yes","",(VLOOKUP(B109,Calculations!G:K,5,0)*100)&amp;"% of "&amp;DOLLAR(SUMIF(Calculations!G:G,B109,Calculations!F:F),2)&amp;" "&amp;B109)</f>
        <v>1% of $16,468.52 Riverdale</v>
      </c>
      <c r="E109" s="11">
        <f>SUMIF(Calculations!G:G,B109,Calculations!J:J)</f>
        <v>329.35999999999996</v>
      </c>
      <c r="F109" t="str">
        <f>IF(Table8[[#This Row],[Location]]="Belmont Market",1,IF(Table8[[#This Row],[Location]]="Country Club Centre",1,IF(Table8[[#This Row],[Location]]="Naval Air Station Norfolk",0.5,2)))&amp;"% of "&amp;DOLLAR(SUMIF(Calculations!G:G,B109,Calculations!F:F),2)&amp;" "&amp;B109</f>
        <v>2% of $16,468.52 Riverdale</v>
      </c>
      <c r="G109" s="11" t="str">
        <f>IF((SUMIF(Calculations!$G:$G,Table8[[#This Row],[Location]],Calculations!$K:$K)/COUNTIF(Calculations!$G:$G,Table8[[#This Row],[Location]]))&lt;&gt;VLOOKUP(Table8[[#This Row],[Location]],Calculations!G:M,5,0),"Yes","")</f>
        <v/>
      </c>
      <c r="H109" s="11">
        <f>Table8[[#This Row],[CONTINUINGFEE - Net Value]]+Table8[[#This Row],[MARKETINGFEE - Net Value]]</f>
        <v>494.03</v>
      </c>
    </row>
    <row r="110" spans="1:8" s="11" customFormat="1" hidden="1" x14ac:dyDescent="0.25">
      <c r="A110" t="str">
        <f>VLOOKUP(B110,'Rates from Tracker'!B:C,2,0)</f>
        <v>SSR Holdings LLC</v>
      </c>
      <c r="B110" s="231" t="s">
        <v>583</v>
      </c>
      <c r="C110" s="11">
        <f>SUMIF(Calculations!G:G,B110,Calculations!L:L)</f>
        <v>149</v>
      </c>
      <c r="D110" s="11" t="str">
        <f>IF(Table8[[#This Row],[Rate Increase?]]="Yes","",(VLOOKUP(B110,Calculations!G:K,5,0)*100)&amp;"% of "&amp;DOLLAR(SUMIF(Calculations!G:G,B110,Calculations!F:F),2)&amp;" "&amp;B110)</f>
        <v>1% of $14,897.77 Riverton</v>
      </c>
      <c r="E110" s="11">
        <f>SUMIF(Calculations!G:G,B110,Calculations!J:J)</f>
        <v>297.95999999999998</v>
      </c>
      <c r="F110" t="str">
        <f>IF(Table8[[#This Row],[Location]]="Belmont Market",1,IF(Table8[[#This Row],[Location]]="Country Club Centre",1,IF(Table8[[#This Row],[Location]]="Naval Air Station Norfolk",0.5,2)))&amp;"% of "&amp;DOLLAR(SUMIF(Calculations!G:G,B110,Calculations!F:F),2)&amp;" "&amp;B110</f>
        <v>2% of $14,897.77 Riverton</v>
      </c>
      <c r="G110" s="11" t="str">
        <f>IF((SUMIF(Calculations!$G:$G,Table8[[#This Row],[Location]],Calculations!$K:$K)/COUNTIF(Calculations!$G:$G,Table8[[#This Row],[Location]]))&lt;&gt;VLOOKUP(Table8[[#This Row],[Location]],Calculations!G:M,5,0),"Yes","")</f>
        <v/>
      </c>
      <c r="H110" s="11">
        <f>Table8[[#This Row],[CONTINUINGFEE - Net Value]]+Table8[[#This Row],[MARKETINGFEE - Net Value]]</f>
        <v>446.96</v>
      </c>
    </row>
    <row r="111" spans="1:8" s="11" customFormat="1" hidden="1" x14ac:dyDescent="0.25">
      <c r="A111" t="str">
        <f>VLOOKUP(B111,'Rates from Tracker'!B:C,2,0)</f>
        <v>SSR Holdings LLC</v>
      </c>
      <c r="B111" s="231" t="s">
        <v>584</v>
      </c>
      <c r="C111" s="11">
        <f>SUMIF(Calculations!G:G,B111,Calculations!L:L)</f>
        <v>131.42000000000002</v>
      </c>
      <c r="D111" s="11" t="str">
        <f>IF(Table8[[#This Row],[Rate Increase?]]="Yes","",(VLOOKUP(B111,Calculations!G:K,5,0)*100)&amp;"% of "&amp;DOLLAR(SUMIF(Calculations!G:G,B111,Calculations!F:F),2)&amp;" "&amp;B111)</f>
        <v>1% of $13,142.32 Roseburg</v>
      </c>
      <c r="E111" s="11">
        <f>SUMIF(Calculations!G:G,B111,Calculations!J:J)</f>
        <v>262.84000000000003</v>
      </c>
      <c r="F111" t="str">
        <f>IF(Table8[[#This Row],[Location]]="Belmont Market",1,IF(Table8[[#This Row],[Location]]="Country Club Centre",1,IF(Table8[[#This Row],[Location]]="Naval Air Station Norfolk",0.5,2)))&amp;"% of "&amp;DOLLAR(SUMIF(Calculations!G:G,B111,Calculations!F:F),2)&amp;" "&amp;B111</f>
        <v>2% of $13,142.32 Roseburg</v>
      </c>
      <c r="G111" s="11" t="str">
        <f>IF((SUMIF(Calculations!$G:$G,Table8[[#This Row],[Location]],Calculations!$K:$K)/COUNTIF(Calculations!$G:$G,Table8[[#This Row],[Location]]))&lt;&gt;VLOOKUP(Table8[[#This Row],[Location]],Calculations!G:M,5,0),"Yes","")</f>
        <v/>
      </c>
      <c r="H111" s="11">
        <f>Table8[[#This Row],[CONTINUINGFEE - Net Value]]+Table8[[#This Row],[MARKETINGFEE - Net Value]]</f>
        <v>394.26000000000005</v>
      </c>
    </row>
    <row r="112" spans="1:8" s="11" customFormat="1" hidden="1" x14ac:dyDescent="0.25">
      <c r="A112" t="str">
        <f>VLOOKUP(B112,'Rates from Tracker'!B:C,2,0)</f>
        <v>SSR Holdings LLC</v>
      </c>
      <c r="B112" s="231" t="s">
        <v>585</v>
      </c>
      <c r="C112" s="11">
        <f>SUMIF(Calculations!G:G,B112,Calculations!L:L)</f>
        <v>207.54</v>
      </c>
      <c r="D112" s="11" t="str">
        <f>IF(Table8[[#This Row],[Rate Increase?]]="Yes","",(VLOOKUP(B112,Calculations!G:K,5,0)*100)&amp;"% of "&amp;DOLLAR(SUMIF(Calculations!G:G,B112,Calculations!F:F),2)&amp;" "&amp;B112)</f>
        <v>1% of $20,754.42 Saratoga Springs</v>
      </c>
      <c r="E112" s="11">
        <f>SUMIF(Calculations!G:G,B112,Calculations!J:J)</f>
        <v>415.08999999999992</v>
      </c>
      <c r="F112" t="str">
        <f>IF(Table8[[#This Row],[Location]]="Belmont Market",1,IF(Table8[[#This Row],[Location]]="Country Club Centre",1,IF(Table8[[#This Row],[Location]]="Naval Air Station Norfolk",0.5,2)))&amp;"% of "&amp;DOLLAR(SUMIF(Calculations!G:G,B112,Calculations!F:F),2)&amp;" "&amp;B112</f>
        <v>2% of $20,754.42 Saratoga Springs</v>
      </c>
      <c r="G112" s="11" t="str">
        <f>IF((SUMIF(Calculations!$G:$G,Table8[[#This Row],[Location]],Calculations!$K:$K)/COUNTIF(Calculations!$G:$G,Table8[[#This Row],[Location]]))&lt;&gt;VLOOKUP(Table8[[#This Row],[Location]],Calculations!G:M,5,0),"Yes","")</f>
        <v/>
      </c>
      <c r="H112" s="11">
        <f>Table8[[#This Row],[CONTINUINGFEE - Net Value]]+Table8[[#This Row],[MARKETINGFEE - Net Value]]</f>
        <v>622.62999999999988</v>
      </c>
    </row>
    <row r="113" spans="1:9" s="11" customFormat="1" hidden="1" x14ac:dyDescent="0.25">
      <c r="A113" t="str">
        <f>VLOOKUP(B113,'Rates from Tracker'!B:C,2,0)</f>
        <v>SSR Holdings LLC</v>
      </c>
      <c r="B113" s="231" t="s">
        <v>586</v>
      </c>
      <c r="C113" s="11">
        <f>SUMIF(Calculations!G:G,B113,Calculations!L:L)</f>
        <v>148.88999999999999</v>
      </c>
      <c r="D113" s="11" t="str">
        <f>IF(Table8[[#This Row],[Rate Increase?]]="Yes","",(VLOOKUP(B113,Calculations!G:K,5,0)*100)&amp;"% of "&amp;DOLLAR(SUMIF(Calculations!G:G,B113,Calculations!F:F),2)&amp;" "&amp;B113)</f>
        <v>1% of $14,889.39 South Eugene</v>
      </c>
      <c r="E113" s="11">
        <f>SUMIF(Calculations!G:G,B113,Calculations!J:J)</f>
        <v>297.77999999999997</v>
      </c>
      <c r="F113" t="str">
        <f>IF(Table8[[#This Row],[Location]]="Belmont Market",1,IF(Table8[[#This Row],[Location]]="Country Club Centre",1,IF(Table8[[#This Row],[Location]]="Naval Air Station Norfolk",0.5,2)))&amp;"% of "&amp;DOLLAR(SUMIF(Calculations!G:G,B113,Calculations!F:F),2)&amp;" "&amp;B113</f>
        <v>2% of $14,889.39 South Eugene</v>
      </c>
      <c r="G113" s="11" t="str">
        <f>IF((SUMIF(Calculations!$G:$G,Table8[[#This Row],[Location]],Calculations!$K:$K)/COUNTIF(Calculations!$G:$G,Table8[[#This Row],[Location]]))&lt;&gt;VLOOKUP(Table8[[#This Row],[Location]],Calculations!G:M,5,0),"Yes","")</f>
        <v/>
      </c>
      <c r="H113" s="11">
        <f>Table8[[#This Row],[CONTINUINGFEE - Net Value]]+Table8[[#This Row],[MARKETINGFEE - Net Value]]</f>
        <v>446.66999999999996</v>
      </c>
    </row>
    <row r="114" spans="1:9" s="11" customFormat="1" hidden="1" x14ac:dyDescent="0.25">
      <c r="A114" t="str">
        <f>VLOOKUP(B114,'Rates from Tracker'!B:C,2,0)</f>
        <v>SSR Holdings LLC</v>
      </c>
      <c r="B114" s="231" t="s">
        <v>587</v>
      </c>
      <c r="C114" s="11">
        <f>SUMIF(Calculations!G:G,B114,Calculations!L:L)</f>
        <v>158.82999999999998</v>
      </c>
      <c r="D114" s="11" t="str">
        <f>IF(Table8[[#This Row],[Rate Increase?]]="Yes","",(VLOOKUP(B114,Calculations!G:K,5,0)*100)&amp;"% of "&amp;DOLLAR(SUMIF(Calculations!G:G,B114,Calculations!F:F),2)&amp;" "&amp;B114)</f>
        <v>1% of $15,882.03 South Jordan</v>
      </c>
      <c r="E114" s="11">
        <f>SUMIF(Calculations!G:G,B114,Calculations!J:J)</f>
        <v>317.64999999999998</v>
      </c>
      <c r="F114" t="str">
        <f>IF(Table8[[#This Row],[Location]]="Belmont Market",1,IF(Table8[[#This Row],[Location]]="Country Club Centre",1,IF(Table8[[#This Row],[Location]]="Naval Air Station Norfolk",0.5,2)))&amp;"% of "&amp;DOLLAR(SUMIF(Calculations!G:G,B114,Calculations!F:F),2)&amp;" "&amp;B114</f>
        <v>2% of $15,882.03 South Jordan</v>
      </c>
      <c r="G114" s="11" t="str">
        <f>IF((SUMIF(Calculations!$G:$G,Table8[[#This Row],[Location]],Calculations!$K:$K)/COUNTIF(Calculations!$G:$G,Table8[[#This Row],[Location]]))&lt;&gt;VLOOKUP(Table8[[#This Row],[Location]],Calculations!G:M,5,0),"Yes","")</f>
        <v/>
      </c>
      <c r="H114" s="11">
        <f>Table8[[#This Row],[CONTINUINGFEE - Net Value]]+Table8[[#This Row],[MARKETINGFEE - Net Value]]</f>
        <v>476.47999999999996</v>
      </c>
    </row>
    <row r="115" spans="1:9" s="11" customFormat="1" hidden="1" x14ac:dyDescent="0.25">
      <c r="A115" t="str">
        <f>VLOOKUP(B115,'Rates from Tracker'!B:C,2,0)</f>
        <v>SSR Holdings LLC</v>
      </c>
      <c r="B115" s="231" t="s">
        <v>588</v>
      </c>
      <c r="C115" s="11">
        <f>SUMIF(Calculations!G:G,B115,Calculations!L:L)</f>
        <v>199.29999999999998</v>
      </c>
      <c r="D115" s="11" t="str">
        <f>IF(Table8[[#This Row],[Rate Increase?]]="Yes","",(VLOOKUP(B115,Calculations!G:K,5,0)*100)&amp;"% of "&amp;DOLLAR(SUMIF(Calculations!G:G,B115,Calculations!F:F),2)&amp;" "&amp;B115)</f>
        <v>1% of $19,931.53 South Medford</v>
      </c>
      <c r="E115" s="11">
        <f>SUMIF(Calculations!G:G,B115,Calculations!J:J)</f>
        <v>398.63</v>
      </c>
      <c r="F115" t="str">
        <f>IF(Table8[[#This Row],[Location]]="Belmont Market",1,IF(Table8[[#This Row],[Location]]="Country Club Centre",1,IF(Table8[[#This Row],[Location]]="Naval Air Station Norfolk",0.5,2)))&amp;"% of "&amp;DOLLAR(SUMIF(Calculations!G:G,B115,Calculations!F:F),2)&amp;" "&amp;B115</f>
        <v>2% of $19,931.53 South Medford</v>
      </c>
      <c r="G115" s="11" t="str">
        <f>IF((SUMIF(Calculations!$G:$G,Table8[[#This Row],[Location]],Calculations!$K:$K)/COUNTIF(Calculations!$G:$G,Table8[[#This Row],[Location]]))&lt;&gt;VLOOKUP(Table8[[#This Row],[Location]],Calculations!G:M,5,0),"Yes","")</f>
        <v/>
      </c>
      <c r="H115" s="11">
        <f>Table8[[#This Row],[CONTINUINGFEE - Net Value]]+Table8[[#This Row],[MARKETINGFEE - Net Value]]</f>
        <v>597.92999999999995</v>
      </c>
    </row>
    <row r="116" spans="1:9" s="11" customFormat="1" hidden="1" x14ac:dyDescent="0.25">
      <c r="A116" t="str">
        <f>VLOOKUP(B116,'Rates from Tracker'!B:C,2,0)</f>
        <v>SSR Holdings LLC</v>
      </c>
      <c r="B116" s="231" t="s">
        <v>589</v>
      </c>
      <c r="C116" s="11">
        <f>SUMIF(Calculations!G:G,B116,Calculations!L:L)</f>
        <v>176.19</v>
      </c>
      <c r="D116" s="11" t="str">
        <f>IF(Table8[[#This Row],[Rate Increase?]]="Yes","",(VLOOKUP(B116,Calculations!G:K,5,0)*100)&amp;"% of "&amp;DOLLAR(SUMIF(Calculations!G:G,B116,Calculations!F:F),2)&amp;" "&amp;B116)</f>
        <v>1% of $17,618.08 Spanish Fork</v>
      </c>
      <c r="E116" s="11">
        <f>SUMIF(Calculations!G:G,B116,Calculations!J:J)</f>
        <v>352.36</v>
      </c>
      <c r="F116" t="str">
        <f>IF(Table8[[#This Row],[Location]]="Belmont Market",1,IF(Table8[[#This Row],[Location]]="Country Club Centre",1,IF(Table8[[#This Row],[Location]]="Naval Air Station Norfolk",0.5,2)))&amp;"% of "&amp;DOLLAR(SUMIF(Calculations!G:G,B116,Calculations!F:F),2)&amp;" "&amp;B116</f>
        <v>2% of $17,618.08 Spanish Fork</v>
      </c>
      <c r="G116" s="11" t="str">
        <f>IF((SUMIF(Calculations!$G:$G,Table8[[#This Row],[Location]],Calculations!$K:$K)/COUNTIF(Calculations!$G:$G,Table8[[#This Row],[Location]]))&lt;&gt;VLOOKUP(Table8[[#This Row],[Location]],Calculations!G:M,5,0),"Yes","")</f>
        <v/>
      </c>
      <c r="H116" s="11">
        <f>Table8[[#This Row],[CONTINUINGFEE - Net Value]]+Table8[[#This Row],[MARKETINGFEE - Net Value]]</f>
        <v>528.54999999999995</v>
      </c>
    </row>
    <row r="117" spans="1:9" s="11" customFormat="1" hidden="1" x14ac:dyDescent="0.25">
      <c r="A117" t="str">
        <f>VLOOKUP(B117,'Rates from Tracker'!B:C,2,0)</f>
        <v>SSR Holdings LLC</v>
      </c>
      <c r="B117" s="231" t="s">
        <v>590</v>
      </c>
      <c r="C117" s="11">
        <f>SUMIF(Calculations!G:G,B117,Calculations!L:L)</f>
        <v>140.85999999999999</v>
      </c>
      <c r="D117" s="11" t="str">
        <f>IF(Table8[[#This Row],[Rate Increase?]]="Yes","",(VLOOKUP(B117,Calculations!G:K,5,0)*100)&amp;"% of "&amp;DOLLAR(SUMIF(Calculations!G:G,B117,Calculations!F:F),2)&amp;" "&amp;B117)</f>
        <v>1% of $14,086.38 Springfield-Oregon</v>
      </c>
      <c r="E117" s="11">
        <f>SUMIF(Calculations!G:G,B117,Calculations!J:J)</f>
        <v>281.73</v>
      </c>
      <c r="F117" t="str">
        <f>IF(Table8[[#This Row],[Location]]="Belmont Market",1,IF(Table8[[#This Row],[Location]]="Country Club Centre",1,IF(Table8[[#This Row],[Location]]="Naval Air Station Norfolk",0.5,2)))&amp;"% of "&amp;DOLLAR(SUMIF(Calculations!G:G,B117,Calculations!F:F),2)&amp;" "&amp;B117</f>
        <v>2% of $14,086.38 Springfield-Oregon</v>
      </c>
      <c r="G117" s="11" t="str">
        <f>IF((SUMIF(Calculations!$G:$G,Table8[[#This Row],[Location]],Calculations!$K:$K)/COUNTIF(Calculations!$G:$G,Table8[[#This Row],[Location]]))&lt;&gt;VLOOKUP(Table8[[#This Row],[Location]],Calculations!G:M,5,0),"Yes","")</f>
        <v/>
      </c>
      <c r="H117" s="11">
        <f>Table8[[#This Row],[CONTINUINGFEE - Net Value]]+Table8[[#This Row],[MARKETINGFEE - Net Value]]</f>
        <v>422.59000000000003</v>
      </c>
    </row>
    <row r="118" spans="1:9" s="11" customFormat="1" hidden="1" x14ac:dyDescent="0.25">
      <c r="A118" t="str">
        <f>VLOOKUP(B118,'Rates from Tracker'!B:C,2,0)</f>
        <v>SSR Holdings LLC</v>
      </c>
      <c r="B118" s="231" t="s">
        <v>591</v>
      </c>
      <c r="C118" s="11">
        <f>SUMIF(Calculations!G:G,B118,Calculations!L:L)</f>
        <v>153.53</v>
      </c>
      <c r="D118" s="11" t="str">
        <f>IF(Table8[[#This Row],[Rate Increase?]]="Yes","",(VLOOKUP(B118,Calculations!G:K,5,0)*100)&amp;"% of "&amp;DOLLAR(SUMIF(Calculations!G:G,B118,Calculations!F:F),2)&amp;" "&amp;B118)</f>
        <v>1% of $15,351.88 Sugar House</v>
      </c>
      <c r="E118" s="11">
        <f>SUMIF(Calculations!G:G,B118,Calculations!J:J)</f>
        <v>307.04000000000002</v>
      </c>
      <c r="F118" t="str">
        <f>IF(Table8[[#This Row],[Location]]="Belmont Market",1,IF(Table8[[#This Row],[Location]]="Country Club Centre",1,IF(Table8[[#This Row],[Location]]="Naval Air Station Norfolk",0.5,2)))&amp;"% of "&amp;DOLLAR(SUMIF(Calculations!G:G,B118,Calculations!F:F),2)&amp;" "&amp;B118</f>
        <v>2% of $15,351.88 Sugar House</v>
      </c>
      <c r="G118" s="11" t="str">
        <f>IF((SUMIF(Calculations!$G:$G,Table8[[#This Row],[Location]],Calculations!$K:$K)/COUNTIF(Calculations!$G:$G,Table8[[#This Row],[Location]]))&lt;&gt;VLOOKUP(Table8[[#This Row],[Location]],Calculations!G:M,5,0),"Yes","")</f>
        <v/>
      </c>
      <c r="H118" s="11">
        <f>Table8[[#This Row],[CONTINUINGFEE - Net Value]]+Table8[[#This Row],[MARKETINGFEE - Net Value]]</f>
        <v>460.57000000000005</v>
      </c>
    </row>
    <row r="119" spans="1:9" s="11" customFormat="1" hidden="1" x14ac:dyDescent="0.25">
      <c r="A119" t="str">
        <f>VLOOKUP(B119,'Rates from Tracker'!B:C,2,0)</f>
        <v>SSR Holdings LLC</v>
      </c>
      <c r="B119" s="231" t="s">
        <v>592</v>
      </c>
      <c r="C119" s="11">
        <f>SUMIF(Calculations!G:G,B119,Calculations!L:L)</f>
        <v>192.82</v>
      </c>
      <c r="D119" s="11" t="str">
        <f>IF(Table8[[#This Row],[Rate Increase?]]="Yes","",(VLOOKUP(B119,Calculations!G:K,5,0)*100)&amp;"% of "&amp;DOLLAR(SUMIF(Calculations!G:G,B119,Calculations!F:F),2)&amp;" "&amp;B119)</f>
        <v>1% of $19,281.73 Woods Cross</v>
      </c>
      <c r="E119" s="11">
        <f>SUMIF(Calculations!G:G,B119,Calculations!J:J)</f>
        <v>385.63000000000005</v>
      </c>
      <c r="F119" t="str">
        <f>IF(Table8[[#This Row],[Location]]="Belmont Market",1,IF(Table8[[#This Row],[Location]]="Country Club Centre",1,IF(Table8[[#This Row],[Location]]="Naval Air Station Norfolk",0.5,2)))&amp;"% of "&amp;DOLLAR(SUMIF(Calculations!G:G,B119,Calculations!F:F),2)&amp;" "&amp;B119</f>
        <v>2% of $19,281.73 Woods Cross</v>
      </c>
      <c r="G119" s="11" t="str">
        <f>IF((SUMIF(Calculations!$G:$G,Table8[[#This Row],[Location]],Calculations!$K:$K)/COUNTIF(Calculations!$G:$G,Table8[[#This Row],[Location]]))&lt;&gt;VLOOKUP(Table8[[#This Row],[Location]],Calculations!G:M,5,0),"Yes","")</f>
        <v/>
      </c>
      <c r="H119" s="11">
        <f>Table8[[#This Row],[CONTINUINGFEE - Net Value]]+Table8[[#This Row],[MARKETINGFEE - Net Value]]</f>
        <v>578.45000000000005</v>
      </c>
    </row>
    <row r="120" spans="1:9" x14ac:dyDescent="0.25">
      <c r="A120" t="s">
        <v>122</v>
      </c>
      <c r="B120">
        <f>SUBTOTAL(3,B5:B119)</f>
        <v>1</v>
      </c>
      <c r="C120" s="11">
        <f>SUBTOTAL(109,Table8[CONTINUINGFEE - Net Value])</f>
        <v>91.51</v>
      </c>
      <c r="E120" s="11">
        <f>SUBTOTAL(109,Table8[MARKETINGFEE - Net Value])</f>
        <v>91.51</v>
      </c>
      <c r="H120" s="11">
        <f>SUBTOTAL(109,Table8[Total])</f>
        <v>183.02</v>
      </c>
      <c r="I120" s="7"/>
    </row>
    <row r="121" spans="1:9" x14ac:dyDescent="0.25">
      <c r="C121" s="11"/>
      <c r="E121" s="11"/>
      <c r="H121" s="11"/>
    </row>
    <row r="122" spans="1:9" x14ac:dyDescent="0.25">
      <c r="C122" s="11"/>
      <c r="E122" s="11"/>
      <c r="H122" s="11"/>
    </row>
    <row r="123" spans="1:9" x14ac:dyDescent="0.25">
      <c r="B123" s="2"/>
      <c r="C123" s="2"/>
      <c r="D123" s="2"/>
      <c r="E123" s="2"/>
    </row>
    <row r="124" spans="1:9" x14ac:dyDescent="0.25">
      <c r="B124" s="2"/>
      <c r="C124" s="2"/>
      <c r="D124" s="158" t="s">
        <v>438</v>
      </c>
      <c r="E124" s="158">
        <v>1</v>
      </c>
    </row>
    <row r="125" spans="1:9" x14ac:dyDescent="0.25">
      <c r="B125" s="2" t="s">
        <v>438</v>
      </c>
      <c r="C125" s="2">
        <v>1</v>
      </c>
      <c r="D125" s="2" t="s">
        <v>439</v>
      </c>
      <c r="E125" s="2">
        <v>1</v>
      </c>
      <c r="F125" t="s">
        <v>452</v>
      </c>
    </row>
    <row r="126" spans="1:9" x14ac:dyDescent="0.25">
      <c r="B126" s="2" t="s">
        <v>438</v>
      </c>
      <c r="C126" s="2">
        <v>1</v>
      </c>
      <c r="D126" s="2" t="s">
        <v>439</v>
      </c>
      <c r="E126" s="2">
        <v>1</v>
      </c>
    </row>
    <row r="127" spans="1:9" x14ac:dyDescent="0.25">
      <c r="B127" s="2" t="s">
        <v>438</v>
      </c>
      <c r="C127" s="2">
        <v>1</v>
      </c>
      <c r="D127" s="2" t="s">
        <v>439</v>
      </c>
      <c r="E127" s="2">
        <v>1</v>
      </c>
    </row>
    <row r="128" spans="1:9" x14ac:dyDescent="0.25">
      <c r="B128" s="2" t="s">
        <v>438</v>
      </c>
      <c r="C128" s="2">
        <v>1</v>
      </c>
      <c r="D128" s="2" t="s">
        <v>439</v>
      </c>
      <c r="E128" s="2">
        <v>1</v>
      </c>
    </row>
    <row r="129" spans="2:5" x14ac:dyDescent="0.25">
      <c r="B129" s="2" t="s">
        <v>438</v>
      </c>
      <c r="C129" s="2">
        <v>1</v>
      </c>
      <c r="D129" s="2" t="s">
        <v>439</v>
      </c>
      <c r="E129" s="2">
        <v>1</v>
      </c>
    </row>
    <row r="130" spans="2:5" x14ac:dyDescent="0.25">
      <c r="B130" s="2" t="s">
        <v>438</v>
      </c>
      <c r="C130" s="2">
        <v>1</v>
      </c>
      <c r="D130" s="2" t="s">
        <v>439</v>
      </c>
      <c r="E130" s="2">
        <v>1</v>
      </c>
    </row>
    <row r="131" spans="2:5" x14ac:dyDescent="0.25">
      <c r="B131" s="2" t="s">
        <v>438</v>
      </c>
      <c r="C131" s="2">
        <v>1</v>
      </c>
      <c r="D131" s="2" t="s">
        <v>439</v>
      </c>
      <c r="E131" s="2">
        <v>1</v>
      </c>
    </row>
    <row r="132" spans="2:5" x14ac:dyDescent="0.25">
      <c r="B132" s="2" t="s">
        <v>438</v>
      </c>
      <c r="C132" s="2">
        <v>1</v>
      </c>
      <c r="D132" s="2" t="s">
        <v>439</v>
      </c>
      <c r="E132" s="2">
        <v>1</v>
      </c>
    </row>
    <row r="133" spans="2:5" x14ac:dyDescent="0.25">
      <c r="B133" s="2" t="s">
        <v>438</v>
      </c>
      <c r="C133" s="2">
        <v>1</v>
      </c>
      <c r="D133" s="2" t="s">
        <v>439</v>
      </c>
      <c r="E133" s="2">
        <v>1</v>
      </c>
    </row>
    <row r="134" spans="2:5" x14ac:dyDescent="0.25">
      <c r="B134" s="2" t="s">
        <v>438</v>
      </c>
      <c r="C134" s="2">
        <v>1</v>
      </c>
      <c r="D134" s="2" t="s">
        <v>439</v>
      </c>
      <c r="E134" s="2">
        <v>1</v>
      </c>
    </row>
    <row r="135" spans="2:5" x14ac:dyDescent="0.25">
      <c r="B135" s="2" t="s">
        <v>438</v>
      </c>
      <c r="C135" s="2">
        <v>1</v>
      </c>
      <c r="D135" s="2" t="s">
        <v>439</v>
      </c>
      <c r="E135" s="2">
        <v>1</v>
      </c>
    </row>
    <row r="136" spans="2:5" x14ac:dyDescent="0.25">
      <c r="B136" s="2" t="s">
        <v>438</v>
      </c>
      <c r="C136" s="2">
        <v>1</v>
      </c>
      <c r="D136" s="2" t="s">
        <v>439</v>
      </c>
      <c r="E136" s="2">
        <v>1</v>
      </c>
    </row>
    <row r="137" spans="2:5" x14ac:dyDescent="0.25">
      <c r="B137" s="2" t="s">
        <v>438</v>
      </c>
      <c r="C137" s="2">
        <v>1</v>
      </c>
      <c r="D137" s="2" t="s">
        <v>439</v>
      </c>
      <c r="E137" s="2">
        <v>1</v>
      </c>
    </row>
    <row r="138" spans="2:5" x14ac:dyDescent="0.25">
      <c r="B138" s="2" t="s">
        <v>438</v>
      </c>
      <c r="C138" s="2">
        <v>1</v>
      </c>
      <c r="D138" s="2" t="s">
        <v>439</v>
      </c>
      <c r="E138" s="2">
        <v>1</v>
      </c>
    </row>
  </sheetData>
  <phoneticPr fontId="92" type="noConversion"/>
  <conditionalFormatting sqref="F2">
    <cfRule type="cellIs" dxfId="2" priority="1" operator="lessThan">
      <formula>0</formula>
    </cfRule>
    <cfRule type="cellIs" dxfId="1" priority="2" operator="greaterThan">
      <formula>0</formula>
    </cfRule>
  </conditionalFormatting>
  <conditionalFormatting sqref="G1:G124 H125:H138 G139:G1048576">
    <cfRule type="containsText" dxfId="0" priority="27" operator="containsText" text="Yes">
      <formula>NOT(ISERROR(SEARCH("Yes",G1)))</formula>
    </cfRule>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00B050"/>
  </sheetPr>
  <dimension ref="A1"/>
  <sheetViews>
    <sheetView workbookViewId="0"/>
  </sheetViews>
  <sheetFormatPr defaultColWidth="8.85546875"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00B050"/>
  </sheetPr>
  <dimension ref="A1"/>
  <sheetViews>
    <sheetView workbookViewId="0"/>
  </sheetViews>
  <sheetFormatPr defaultColWidth="8.85546875"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8CC8-D0FD-45D9-8493-2E712A508B4A}">
  <sheetPr codeName="Sheet9">
    <tabColor theme="4" tint="-0.249977111117893"/>
  </sheetPr>
  <dimension ref="A1:D14"/>
  <sheetViews>
    <sheetView workbookViewId="0">
      <selection activeCell="D7" sqref="D7"/>
    </sheetView>
  </sheetViews>
  <sheetFormatPr defaultRowHeight="15" x14ac:dyDescent="0.25"/>
  <cols>
    <col min="1" max="1" width="28.140625" bestFit="1" customWidth="1"/>
    <col min="2" max="2" width="19.5703125" style="168" hidden="1" customWidth="1"/>
    <col min="3" max="3" width="10.5703125" bestFit="1" customWidth="1"/>
    <col min="4" max="4" width="16.28515625" bestFit="1" customWidth="1"/>
  </cols>
  <sheetData>
    <row r="1" spans="1:4" x14ac:dyDescent="0.25">
      <c r="B1"/>
    </row>
    <row r="3" spans="1:4" x14ac:dyDescent="0.25">
      <c r="A3" s="166" t="s">
        <v>489</v>
      </c>
      <c r="B3"/>
      <c r="C3" t="s">
        <v>458</v>
      </c>
      <c r="D3" t="s">
        <v>490</v>
      </c>
    </row>
    <row r="4" spans="1:4" x14ac:dyDescent="0.25">
      <c r="A4" s="167" t="s">
        <v>57</v>
      </c>
      <c r="B4"/>
      <c r="C4" s="169">
        <f>B4*0.79</f>
        <v>0</v>
      </c>
      <c r="D4">
        <v>4</v>
      </c>
    </row>
    <row r="5" spans="1:4" x14ac:dyDescent="0.25">
      <c r="A5" s="167" t="s">
        <v>92</v>
      </c>
      <c r="B5"/>
      <c r="C5" s="169">
        <f>B5</f>
        <v>0</v>
      </c>
      <c r="D5">
        <v>1</v>
      </c>
    </row>
    <row r="6" spans="1:4" x14ac:dyDescent="0.25">
      <c r="A6" s="167" t="s">
        <v>65</v>
      </c>
      <c r="B6"/>
      <c r="C6" s="169">
        <f t="shared" ref="C6:C12" si="0">B6</f>
        <v>0</v>
      </c>
      <c r="D6">
        <v>2</v>
      </c>
    </row>
    <row r="7" spans="1:4" x14ac:dyDescent="0.25">
      <c r="A7" s="167" t="s">
        <v>134</v>
      </c>
      <c r="B7"/>
      <c r="C7" s="169">
        <f t="shared" si="0"/>
        <v>0</v>
      </c>
      <c r="D7">
        <v>3</v>
      </c>
    </row>
    <row r="8" spans="1:4" x14ac:dyDescent="0.25">
      <c r="A8" s="167" t="s">
        <v>85</v>
      </c>
      <c r="B8"/>
      <c r="C8" s="169">
        <f t="shared" si="0"/>
        <v>0</v>
      </c>
      <c r="D8">
        <v>5</v>
      </c>
    </row>
    <row r="9" spans="1:4" x14ac:dyDescent="0.25">
      <c r="A9" s="167" t="s">
        <v>120</v>
      </c>
      <c r="B9"/>
      <c r="C9" s="169">
        <f t="shared" si="0"/>
        <v>0</v>
      </c>
      <c r="D9">
        <v>6</v>
      </c>
    </row>
    <row r="10" spans="1:4" x14ac:dyDescent="0.25">
      <c r="B10"/>
      <c r="C10" s="169">
        <f t="shared" si="0"/>
        <v>0</v>
      </c>
      <c r="D10">
        <v>7</v>
      </c>
    </row>
    <row r="11" spans="1:4" x14ac:dyDescent="0.25">
      <c r="B11"/>
      <c r="C11" s="169">
        <f t="shared" si="0"/>
        <v>0</v>
      </c>
      <c r="D11">
        <v>8</v>
      </c>
    </row>
    <row r="12" spans="1:4" x14ac:dyDescent="0.25">
      <c r="B12"/>
      <c r="C12" s="169">
        <f t="shared" si="0"/>
        <v>0</v>
      </c>
      <c r="D12">
        <v>9</v>
      </c>
    </row>
    <row r="13" spans="1:4" x14ac:dyDescent="0.25">
      <c r="B13"/>
    </row>
    <row r="14" spans="1:4" x14ac:dyDescent="0.25">
      <c r="B1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FDC42-CFC0-4AF7-9756-AF75AD03FDAF}">
  <sheetPr codeName="Sheet10"/>
  <dimension ref="A1:G11"/>
  <sheetViews>
    <sheetView workbookViewId="0">
      <selection activeCell="F1" sqref="F1:F9"/>
    </sheetView>
  </sheetViews>
  <sheetFormatPr defaultColWidth="9.140625" defaultRowHeight="15" x14ac:dyDescent="0.25"/>
  <cols>
    <col min="1" max="1" width="31.85546875" style="39" bestFit="1" customWidth="1"/>
    <col min="2" max="2" width="36.140625" style="39" bestFit="1" customWidth="1"/>
    <col min="3" max="3" width="19.42578125" style="43" customWidth="1"/>
    <col min="4" max="4" width="17.85546875" style="41" customWidth="1"/>
    <col min="5" max="6" width="17.85546875" style="39" customWidth="1"/>
    <col min="7" max="7" width="37.5703125" style="39" bestFit="1" customWidth="1"/>
    <col min="8" max="16384" width="9.140625" style="39"/>
  </cols>
  <sheetData>
    <row r="1" spans="1:7" x14ac:dyDescent="0.25">
      <c r="A1" s="160" t="str">
        <f>LEFT(Summary!A8,30)</f>
        <v>APizza Delight Inc</v>
      </c>
      <c r="B1" s="39" t="s">
        <v>57</v>
      </c>
      <c r="C1" s="43" t="e">
        <f>VLOOKUP(A1,'Banking Info'!B:C,2,0)</f>
        <v>#N/A</v>
      </c>
      <c r="D1" s="43" t="e">
        <f>VLOOKUP(A1,'Banking Info'!B:D,3,0)</f>
        <v>#N/A</v>
      </c>
      <c r="E1" s="97" t="s">
        <v>407</v>
      </c>
      <c r="F1" s="40">
        <v>37921.399999999987</v>
      </c>
    </row>
    <row r="2" spans="1:7" x14ac:dyDescent="0.25">
      <c r="A2" s="160" t="str">
        <f>LEFT(Summary!A9,30)</f>
        <v>Best Pizza LLC</v>
      </c>
      <c r="B2" s="39" t="s">
        <v>484</v>
      </c>
      <c r="C2" s="43">
        <f>VLOOKUP(A2,'Banking Info'!B:C,2,0)</f>
        <v>124000054</v>
      </c>
      <c r="D2" s="43">
        <f>VLOOKUP(A2,'Banking Info'!B:D,3,0)</f>
        <v>427012802</v>
      </c>
      <c r="E2" s="97" t="s">
        <v>407</v>
      </c>
      <c r="F2" s="40">
        <v>5474.54</v>
      </c>
    </row>
    <row r="3" spans="1:7" x14ac:dyDescent="0.25">
      <c r="A3" s="160" t="str">
        <f>LEFT(Summary!A11,30)</f>
        <v>DAZ9</v>
      </c>
      <c r="B3" s="161" t="s">
        <v>486</v>
      </c>
      <c r="C3" s="43" t="e">
        <f>VLOOKUP(A3,'Banking Info'!B:C,2,0)</f>
        <v>#N/A</v>
      </c>
      <c r="D3" s="43" t="e">
        <f>VLOOKUP(A3,'Banking Info'!B:D,3,0)</f>
        <v>#N/A</v>
      </c>
      <c r="E3" s="97" t="s">
        <v>407</v>
      </c>
      <c r="F3" s="40">
        <v>10377.259999999995</v>
      </c>
    </row>
    <row r="4" spans="1:7" x14ac:dyDescent="0.25">
      <c r="A4" s="160" t="str">
        <f>LEFT(Summary!A12,30)</f>
        <v>Exceed Group Auburn Village</v>
      </c>
      <c r="B4" s="161" t="s">
        <v>487</v>
      </c>
      <c r="C4" s="43" t="e">
        <f>VLOOKUP(A4,'Banking Info'!B:C,2,0)</f>
        <v>#N/A</v>
      </c>
      <c r="D4" s="43" t="e">
        <f>VLOOKUP(A4,'Banking Info'!B:D,3,0)</f>
        <v>#N/A</v>
      </c>
      <c r="E4" s="97" t="s">
        <v>407</v>
      </c>
      <c r="F4" s="40">
        <v>17599.599999999995</v>
      </c>
    </row>
    <row r="5" spans="1:7" x14ac:dyDescent="0.25">
      <c r="A5" s="160" t="str">
        <f>LEFT(Summary!A13,30)</f>
        <v>Exceed Group Campus Oaks</v>
      </c>
      <c r="B5" s="39" t="s">
        <v>65</v>
      </c>
      <c r="C5" s="43" t="e">
        <f>VLOOKUP(A5,'Banking Info'!B:C,2,0)</f>
        <v>#N/A</v>
      </c>
      <c r="D5" s="43" t="e">
        <f>VLOOKUP(A5,'Banking Info'!B:D,3,0)</f>
        <v>#N/A</v>
      </c>
      <c r="E5" s="97" t="s">
        <v>407</v>
      </c>
      <c r="F5" s="40">
        <v>796.90999999999985</v>
      </c>
    </row>
    <row r="6" spans="1:7" x14ac:dyDescent="0.25">
      <c r="A6" s="160" t="str">
        <f>LEFT(Summary!A14,30)</f>
        <v>Exceed Group Chico</v>
      </c>
      <c r="B6" s="39" t="s">
        <v>485</v>
      </c>
      <c r="C6" s="43" t="e">
        <f>VLOOKUP(A6,'Banking Info'!B:C,2,0)</f>
        <v>#N/A</v>
      </c>
      <c r="D6" s="43" t="e">
        <f>VLOOKUP(A6,'Banking Info'!B:D,3,0)</f>
        <v>#N/A</v>
      </c>
      <c r="E6" s="97" t="s">
        <v>407</v>
      </c>
      <c r="F6" s="40">
        <v>6483.630000000001</v>
      </c>
    </row>
    <row r="7" spans="1:7" x14ac:dyDescent="0.25">
      <c r="A7" s="160" t="str">
        <f>LEFT(Summary!A15,30)</f>
        <v>Exceed Group Churn Creek</v>
      </c>
      <c r="B7" s="227" t="s">
        <v>539</v>
      </c>
      <c r="C7" s="43" t="e">
        <f>VLOOKUP(A7,'Banking Info'!B:C,2,0)</f>
        <v>#N/A</v>
      </c>
      <c r="D7" s="43" t="e">
        <f>VLOOKUP(A7,'Banking Info'!B:D,3,0)</f>
        <v>#N/A</v>
      </c>
      <c r="E7" s="97" t="s">
        <v>407</v>
      </c>
      <c r="F7" s="40">
        <v>8917.82</v>
      </c>
    </row>
    <row r="8" spans="1:7" x14ac:dyDescent="0.25">
      <c r="A8" s="160" t="str">
        <f>LEFT(Summary!A16,30)</f>
        <v>Exceed Group Eureka</v>
      </c>
      <c r="B8" s="39" t="s">
        <v>134</v>
      </c>
      <c r="C8" s="43" t="e">
        <f>VLOOKUP(A8,'Banking Info'!B:C,2,0)</f>
        <v>#N/A</v>
      </c>
      <c r="D8" s="43" t="e">
        <f>VLOOKUP(A8,'Banking Info'!B:D,3,0)</f>
        <v>#N/A</v>
      </c>
      <c r="E8" s="97" t="s">
        <v>407</v>
      </c>
      <c r="F8" s="40">
        <v>507.02000000000004</v>
      </c>
    </row>
    <row r="9" spans="1:7" x14ac:dyDescent="0.25">
      <c r="A9" s="160" t="str">
        <f>LEFT(Summary!A17,30)</f>
        <v>Exceed Group Howe Bout Arden</v>
      </c>
      <c r="B9" s="39" t="s">
        <v>85</v>
      </c>
      <c r="C9" s="43" t="e">
        <f>VLOOKUP(A9,'Banking Info'!B:C,2,0)</f>
        <v>#N/A</v>
      </c>
      <c r="D9" s="43" t="e">
        <f>VLOOKUP(A9,'Banking Info'!B:D,3,0)</f>
        <v>#N/A</v>
      </c>
      <c r="E9" s="97" t="s">
        <v>407</v>
      </c>
      <c r="F9" s="40">
        <v>168.06</v>
      </c>
      <c r="G9" s="159"/>
    </row>
    <row r="10" spans="1:7" x14ac:dyDescent="0.25">
      <c r="A10" s="160" t="str">
        <f>LEFT(Summary!A18,30)</f>
        <v>Exceed Group Rancho Cordova</v>
      </c>
      <c r="B10" s="39" t="s">
        <v>455</v>
      </c>
      <c r="C10" s="43" t="e">
        <f>VLOOKUP(A10,'Banking Info'!B:C,2,0)</f>
        <v>#N/A</v>
      </c>
      <c r="D10" s="43" t="e">
        <f>VLOOKUP(A10,'Banking Info'!B:D,3,0)</f>
        <v>#N/A</v>
      </c>
      <c r="E10" s="97" t="s">
        <v>407</v>
      </c>
      <c r="F10" s="170">
        <v>532.37</v>
      </c>
      <c r="G10" s="159" t="s">
        <v>483</v>
      </c>
    </row>
    <row r="11" spans="1:7" x14ac:dyDescent="0.25">
      <c r="A11" s="160" t="str">
        <f>LEFT(Summary!A19,30)</f>
        <v>Exceed Group REDDING</v>
      </c>
      <c r="B11" s="39" t="s">
        <v>455</v>
      </c>
      <c r="C11" s="43" t="e">
        <f>VLOOKUP(A11,'Banking Info'!B:C,2,0)</f>
        <v>#N/A</v>
      </c>
      <c r="D11" s="43" t="e">
        <f>VLOOKUP(A11,'Banking Info'!B:D,3,0)</f>
        <v>#N/A</v>
      </c>
      <c r="E11" s="97" t="s">
        <v>407</v>
      </c>
      <c r="F11" s="170">
        <v>176.46</v>
      </c>
      <c r="G11" s="159" t="s">
        <v>483</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18409-02DD-4590-9A63-712C92469FD1}">
  <sheetPr codeName="Sheet11"/>
  <dimension ref="B4:D18"/>
  <sheetViews>
    <sheetView workbookViewId="0">
      <selection activeCell="D17" sqref="D17"/>
    </sheetView>
  </sheetViews>
  <sheetFormatPr defaultRowHeight="15" x14ac:dyDescent="0.25"/>
  <cols>
    <col min="2" max="2" width="31.85546875" bestFit="1" customWidth="1"/>
    <col min="3" max="3" width="10" bestFit="1" customWidth="1"/>
    <col min="4" max="4" width="13.140625" bestFit="1" customWidth="1"/>
  </cols>
  <sheetData>
    <row r="4" spans="2:4" ht="15.75" thickBot="1" x14ac:dyDescent="0.3"/>
    <row r="5" spans="2:4" x14ac:dyDescent="0.25">
      <c r="B5" s="134" t="s">
        <v>462</v>
      </c>
      <c r="C5" s="135" t="s">
        <v>313</v>
      </c>
      <c r="D5" s="136" t="s">
        <v>312</v>
      </c>
    </row>
    <row r="6" spans="2:4" x14ac:dyDescent="0.25">
      <c r="B6" s="137" t="s">
        <v>57</v>
      </c>
      <c r="C6" s="138">
        <v>124000054</v>
      </c>
      <c r="D6" s="139">
        <v>427012802</v>
      </c>
    </row>
    <row r="7" spans="2:4" x14ac:dyDescent="0.25">
      <c r="B7" s="137" t="s">
        <v>92</v>
      </c>
      <c r="C7" s="140" t="s">
        <v>314</v>
      </c>
      <c r="D7" s="139">
        <v>1609815</v>
      </c>
    </row>
    <row r="8" spans="2:4" x14ac:dyDescent="0.25">
      <c r="B8" s="137" t="s">
        <v>260</v>
      </c>
      <c r="C8" s="138">
        <v>101006699</v>
      </c>
      <c r="D8" s="139">
        <v>1565488069</v>
      </c>
    </row>
    <row r="9" spans="2:4" x14ac:dyDescent="0.25">
      <c r="B9" s="137" t="s">
        <v>261</v>
      </c>
      <c r="C9" s="175" t="s">
        <v>491</v>
      </c>
      <c r="D9" s="176" t="s">
        <v>492</v>
      </c>
    </row>
    <row r="10" spans="2:4" x14ac:dyDescent="0.25">
      <c r="B10" s="137" t="s">
        <v>65</v>
      </c>
      <c r="C10" s="140" t="s">
        <v>315</v>
      </c>
      <c r="D10" s="139">
        <v>6021312332</v>
      </c>
    </row>
    <row r="11" spans="2:4" x14ac:dyDescent="0.25">
      <c r="B11" s="137" t="s">
        <v>70</v>
      </c>
      <c r="C11" s="138">
        <v>123103716</v>
      </c>
      <c r="D11" s="139">
        <v>139100976154</v>
      </c>
    </row>
    <row r="12" spans="2:4" x14ac:dyDescent="0.25">
      <c r="B12" s="137" t="s">
        <v>77</v>
      </c>
      <c r="C12" s="138">
        <v>121000248</v>
      </c>
      <c r="D12" s="139">
        <v>4123536799</v>
      </c>
    </row>
    <row r="13" spans="2:4" x14ac:dyDescent="0.25">
      <c r="B13" s="137" t="s">
        <v>134</v>
      </c>
      <c r="C13" s="140" t="s">
        <v>341</v>
      </c>
      <c r="D13" s="139">
        <v>5297510039</v>
      </c>
    </row>
    <row r="14" spans="2:4" x14ac:dyDescent="0.25">
      <c r="B14" s="137" t="s">
        <v>85</v>
      </c>
      <c r="C14" s="140" t="s">
        <v>316</v>
      </c>
      <c r="D14" s="139">
        <v>7915863851</v>
      </c>
    </row>
    <row r="15" spans="2:4" x14ac:dyDescent="0.25">
      <c r="B15" s="137" t="s">
        <v>528</v>
      </c>
      <c r="C15" s="219" t="s">
        <v>461</v>
      </c>
      <c r="D15" s="139">
        <v>1067867</v>
      </c>
    </row>
    <row r="16" spans="2:4" x14ac:dyDescent="0.25">
      <c r="B16" s="137" t="s">
        <v>529</v>
      </c>
      <c r="C16" s="219" t="s">
        <v>461</v>
      </c>
      <c r="D16" s="139">
        <v>1086677</v>
      </c>
    </row>
    <row r="17" spans="2:4" x14ac:dyDescent="0.25">
      <c r="B17" s="137" t="s">
        <v>543</v>
      </c>
      <c r="C17" s="219">
        <v>113025723</v>
      </c>
      <c r="D17" s="139">
        <v>22023373</v>
      </c>
    </row>
    <row r="18" spans="2:4" ht="15.75" thickBot="1" x14ac:dyDescent="0.3">
      <c r="B18" s="216" t="s">
        <v>539</v>
      </c>
      <c r="C18" s="217">
        <v>121000248</v>
      </c>
      <c r="D18" s="218">
        <v>4826868838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L209"/>
  <sheetViews>
    <sheetView topLeftCell="A32" workbookViewId="0"/>
  </sheetViews>
  <sheetFormatPr defaultColWidth="8.85546875" defaultRowHeight="15" outlineLevelCol="1" x14ac:dyDescent="0.25"/>
  <cols>
    <col min="1" max="1" width="49.42578125" customWidth="1"/>
    <col min="2" max="2" width="31" style="2" customWidth="1"/>
    <col min="3" max="3" width="25.42578125" style="2" customWidth="1"/>
    <col min="4" max="6" width="25.42578125" customWidth="1"/>
    <col min="7" max="7" width="35.42578125" hidden="1" customWidth="1" outlineLevel="1"/>
    <col min="8" max="8" width="31.42578125" hidden="1" customWidth="1" outlineLevel="1"/>
    <col min="9" max="11" width="32.140625" hidden="1" customWidth="1" outlineLevel="1"/>
    <col min="12" max="12" width="9.140625" collapsed="1"/>
  </cols>
  <sheetData>
    <row r="1" spans="1:12" x14ac:dyDescent="0.25">
      <c r="A1" s="1" t="s">
        <v>42</v>
      </c>
    </row>
    <row r="2" spans="1:12" x14ac:dyDescent="0.25">
      <c r="A2" s="1" t="s">
        <v>43</v>
      </c>
    </row>
    <row r="4" spans="1:12" ht="15.75" thickBot="1" x14ac:dyDescent="0.3"/>
    <row r="5" spans="1:12" ht="15.75" thickBot="1" x14ac:dyDescent="0.3">
      <c r="A5" s="257" t="s">
        <v>44</v>
      </c>
      <c r="B5" s="258"/>
      <c r="C5" s="258"/>
      <c r="D5" s="258"/>
      <c r="E5" s="258"/>
      <c r="F5" s="259"/>
      <c r="G5" s="257" t="s">
        <v>45</v>
      </c>
      <c r="H5" s="258"/>
      <c r="I5" s="258"/>
      <c r="J5" s="258"/>
      <c r="K5" s="259"/>
      <c r="L5" s="3"/>
    </row>
    <row r="6" spans="1:12" x14ac:dyDescent="0.25">
      <c r="A6" s="1" t="s">
        <v>46</v>
      </c>
      <c r="B6" s="1" t="s">
        <v>47</v>
      </c>
      <c r="C6" s="1" t="s">
        <v>48</v>
      </c>
      <c r="D6" s="1" t="s">
        <v>49</v>
      </c>
      <c r="E6" s="3" t="s">
        <v>50</v>
      </c>
      <c r="F6" s="3" t="s">
        <v>51</v>
      </c>
      <c r="G6" s="1" t="s">
        <v>52</v>
      </c>
      <c r="H6" s="1" t="s">
        <v>53</v>
      </c>
      <c r="I6" s="1" t="s">
        <v>54</v>
      </c>
      <c r="J6" s="1" t="s">
        <v>55</v>
      </c>
      <c r="K6" s="1" t="s">
        <v>56</v>
      </c>
    </row>
    <row r="7" spans="1:12" x14ac:dyDescent="0.25">
      <c r="A7" t="s">
        <v>57</v>
      </c>
      <c r="B7" t="s">
        <v>58</v>
      </c>
      <c r="C7" t="s">
        <v>59</v>
      </c>
      <c r="D7" t="s">
        <v>60</v>
      </c>
      <c r="E7" s="2">
        <v>25</v>
      </c>
      <c r="F7" s="2" t="e">
        <f>COUNTIF(#REF!,#REF!)</f>
        <v>#REF!</v>
      </c>
      <c r="G7" s="4" t="s">
        <v>61</v>
      </c>
      <c r="H7" s="4" t="s">
        <v>62</v>
      </c>
      <c r="I7" s="4" t="s">
        <v>63</v>
      </c>
      <c r="J7" s="4" t="s">
        <v>64</v>
      </c>
    </row>
    <row r="8" spans="1:12" x14ac:dyDescent="0.25">
      <c r="A8" t="s">
        <v>65</v>
      </c>
      <c r="B8" t="s">
        <v>58</v>
      </c>
      <c r="C8" t="s">
        <v>66</v>
      </c>
      <c r="D8" t="s">
        <v>67</v>
      </c>
      <c r="E8" s="2">
        <v>10</v>
      </c>
      <c r="F8" s="2" t="e">
        <f>COUNTIF(#REF!,#REF!)</f>
        <v>#REF!</v>
      </c>
      <c r="G8" s="4" t="s">
        <v>68</v>
      </c>
      <c r="H8" s="4"/>
      <c r="I8" s="4" t="s">
        <v>69</v>
      </c>
    </row>
    <row r="9" spans="1:12" x14ac:dyDescent="0.25">
      <c r="A9" t="s">
        <v>70</v>
      </c>
      <c r="B9" t="s">
        <v>58</v>
      </c>
      <c r="C9" t="s">
        <v>71</v>
      </c>
      <c r="D9" t="s">
        <v>72</v>
      </c>
      <c r="E9" s="2">
        <v>25</v>
      </c>
      <c r="F9" s="2" t="e">
        <f>COUNTIF(#REF!,#REF!)</f>
        <v>#REF!</v>
      </c>
      <c r="G9" s="4" t="s">
        <v>73</v>
      </c>
      <c r="H9" s="4" t="s">
        <v>74</v>
      </c>
      <c r="I9" s="4" t="s">
        <v>75</v>
      </c>
      <c r="J9" s="4" t="s">
        <v>76</v>
      </c>
    </row>
    <row r="10" spans="1:12" x14ac:dyDescent="0.25">
      <c r="A10" t="s">
        <v>77</v>
      </c>
      <c r="B10" t="s">
        <v>58</v>
      </c>
      <c r="C10" t="s">
        <v>78</v>
      </c>
      <c r="D10" t="s">
        <v>79</v>
      </c>
      <c r="E10" s="2">
        <v>15</v>
      </c>
      <c r="F10" s="2" t="e">
        <f>COUNTIF(#REF!,#REF!)</f>
        <v>#REF!</v>
      </c>
      <c r="G10" s="4" t="s">
        <v>80</v>
      </c>
      <c r="H10" s="4" t="s">
        <v>81</v>
      </c>
      <c r="I10" s="4" t="s">
        <v>82</v>
      </c>
      <c r="J10" s="4" t="s">
        <v>83</v>
      </c>
      <c r="K10" s="4" t="s">
        <v>84</v>
      </c>
    </row>
    <row r="11" spans="1:12" x14ac:dyDescent="0.25">
      <c r="A11" t="s">
        <v>85</v>
      </c>
      <c r="B11" t="s">
        <v>58</v>
      </c>
      <c r="C11" t="s">
        <v>86</v>
      </c>
      <c r="D11" t="s">
        <v>87</v>
      </c>
      <c r="E11" s="2">
        <v>25</v>
      </c>
      <c r="F11" s="2" t="e">
        <f>COUNTIF(#REF!,#REF!)</f>
        <v>#REF!</v>
      </c>
      <c r="G11" s="4" t="s">
        <v>88</v>
      </c>
      <c r="I11" s="4" t="s">
        <v>89</v>
      </c>
      <c r="J11" s="4" t="s">
        <v>90</v>
      </c>
      <c r="K11" s="4" t="s">
        <v>91</v>
      </c>
    </row>
    <row r="12" spans="1:12" x14ac:dyDescent="0.25">
      <c r="A12" t="s">
        <v>92</v>
      </c>
      <c r="B12" t="s">
        <v>93</v>
      </c>
      <c r="C12" t="s">
        <v>94</v>
      </c>
      <c r="D12" t="s">
        <v>95</v>
      </c>
      <c r="E12" s="2">
        <v>20</v>
      </c>
      <c r="F12" s="2" t="e">
        <f>COUNTIF(#REF!,#REF!)</f>
        <v>#REF!</v>
      </c>
      <c r="G12" s="4" t="s">
        <v>96</v>
      </c>
      <c r="I12" s="4" t="s">
        <v>97</v>
      </c>
      <c r="J12" s="4" t="s">
        <v>98</v>
      </c>
    </row>
    <row r="13" spans="1:12" x14ac:dyDescent="0.25">
      <c r="A13" t="s">
        <v>99</v>
      </c>
      <c r="B13" t="s">
        <v>93</v>
      </c>
      <c r="C13" t="s">
        <v>100</v>
      </c>
      <c r="D13" t="s">
        <v>101</v>
      </c>
      <c r="E13" s="2">
        <v>25</v>
      </c>
      <c r="F13" s="2" t="e">
        <f>COUNTIF(#REF!,#REF!)</f>
        <v>#REF!</v>
      </c>
      <c r="G13" s="4" t="s">
        <v>102</v>
      </c>
      <c r="H13" s="4"/>
      <c r="I13" s="4" t="s">
        <v>103</v>
      </c>
    </row>
    <row r="14" spans="1:12" x14ac:dyDescent="0.25">
      <c r="A14" t="s">
        <v>104</v>
      </c>
      <c r="B14" t="s">
        <v>93</v>
      </c>
      <c r="C14" t="s">
        <v>100</v>
      </c>
      <c r="D14" t="s">
        <v>101</v>
      </c>
      <c r="E14" s="2">
        <v>35</v>
      </c>
      <c r="F14" s="2" t="e">
        <f>COUNTIF(#REF!,#REF!)</f>
        <v>#REF!</v>
      </c>
      <c r="G14" s="4" t="s">
        <v>102</v>
      </c>
      <c r="H14" s="4"/>
      <c r="I14" s="4" t="s">
        <v>103</v>
      </c>
    </row>
    <row r="15" spans="1:12" x14ac:dyDescent="0.25">
      <c r="A15" t="s">
        <v>105</v>
      </c>
      <c r="B15" t="s">
        <v>93</v>
      </c>
      <c r="C15" t="s">
        <v>106</v>
      </c>
      <c r="D15" t="s">
        <v>107</v>
      </c>
      <c r="E15" s="2">
        <v>37</v>
      </c>
      <c r="F15" s="2" t="e">
        <f>COUNTIF(#REF!,#REF!)</f>
        <v>#REF!</v>
      </c>
      <c r="G15" s="4" t="s">
        <v>108</v>
      </c>
      <c r="I15" s="4" t="s">
        <v>109</v>
      </c>
    </row>
    <row r="16" spans="1:12" x14ac:dyDescent="0.25">
      <c r="A16" t="s">
        <v>110</v>
      </c>
      <c r="B16" t="s">
        <v>93</v>
      </c>
      <c r="C16" t="s">
        <v>111</v>
      </c>
      <c r="D16" t="s">
        <v>112</v>
      </c>
      <c r="E16" s="2">
        <v>30</v>
      </c>
      <c r="F16" s="2" t="e">
        <f>COUNTIF(#REF!,#REF!)</f>
        <v>#REF!</v>
      </c>
      <c r="G16" s="4" t="s">
        <v>113</v>
      </c>
    </row>
    <row r="17" spans="1:7" ht="15.75" customHeight="1" x14ac:dyDescent="0.25">
      <c r="B17"/>
      <c r="C17"/>
      <c r="E17" s="2"/>
      <c r="F17" s="2"/>
      <c r="G17" s="4"/>
    </row>
    <row r="18" spans="1:7" ht="15.75" customHeight="1" thickBot="1" x14ac:dyDescent="0.3">
      <c r="B18"/>
      <c r="C18"/>
      <c r="E18" s="2"/>
      <c r="F18" s="2"/>
      <c r="G18" s="4"/>
    </row>
    <row r="19" spans="1:7" ht="15.75" thickBot="1" x14ac:dyDescent="0.3">
      <c r="A19" s="257" t="s">
        <v>114</v>
      </c>
      <c r="B19" s="258"/>
      <c r="C19" s="258"/>
      <c r="D19" s="258"/>
      <c r="E19" s="258"/>
      <c r="F19" s="259"/>
    </row>
    <row r="20" spans="1:7" x14ac:dyDescent="0.25">
      <c r="A20" t="s">
        <v>2</v>
      </c>
      <c r="B20" s="2" t="s">
        <v>46</v>
      </c>
      <c r="C20" s="2" t="s">
        <v>115</v>
      </c>
      <c r="D20" s="2" t="s">
        <v>116</v>
      </c>
      <c r="E20" s="2" t="s">
        <v>117</v>
      </c>
      <c r="F20" s="2" t="s">
        <v>118</v>
      </c>
    </row>
    <row r="21" spans="1:7" hidden="1" x14ac:dyDescent="0.25">
      <c r="A21" t="e">
        <f>#REF!</f>
        <v>#REF!</v>
      </c>
      <c r="B21" s="2" t="e">
        <f>VLOOKUP(A21,#REF!,2,0)</f>
        <v>#REF!</v>
      </c>
      <c r="C21" s="5" t="e">
        <f>VLOOKUP(A21,#REF!,3,0)</f>
        <v>#REF!</v>
      </c>
      <c r="D21" t="e">
        <f>#REF!</f>
        <v>#REF!</v>
      </c>
      <c r="E21" s="6" t="e">
        <f>#REF!/100</f>
        <v>#REF!</v>
      </c>
      <c r="F21" s="7" t="e">
        <f>#REF!</f>
        <v>#REF!</v>
      </c>
    </row>
    <row r="22" spans="1:7" x14ac:dyDescent="0.25">
      <c r="A22" t="e">
        <f>#REF!</f>
        <v>#REF!</v>
      </c>
      <c r="B22" s="2" t="e">
        <f>VLOOKUP(A22,#REF!,2,0)</f>
        <v>#REF!</v>
      </c>
      <c r="C22" s="5" t="e">
        <f>VLOOKUP(A22,#REF!,3,0)</f>
        <v>#REF!</v>
      </c>
      <c r="D22" s="2" t="e">
        <f>#REF!</f>
        <v>#REF!</v>
      </c>
      <c r="E22" s="8" t="e">
        <f>#REF!/100</f>
        <v>#REF!</v>
      </c>
      <c r="F22" s="7" t="e">
        <f>#REF!</f>
        <v>#REF!</v>
      </c>
    </row>
    <row r="23" spans="1:7" x14ac:dyDescent="0.25">
      <c r="A23" t="e">
        <f>#REF!</f>
        <v>#REF!</v>
      </c>
      <c r="B23" s="2" t="e">
        <f>VLOOKUP(A23,#REF!,2,0)</f>
        <v>#REF!</v>
      </c>
      <c r="C23" s="5" t="e">
        <f>VLOOKUP(A23,#REF!,3,0)</f>
        <v>#REF!</v>
      </c>
      <c r="D23" s="2" t="e">
        <f>#REF!</f>
        <v>#REF!</v>
      </c>
      <c r="E23" s="8" t="e">
        <f>#REF!/100</f>
        <v>#REF!</v>
      </c>
      <c r="F23" s="7" t="e">
        <f>#REF!</f>
        <v>#REF!</v>
      </c>
    </row>
    <row r="24" spans="1:7" x14ac:dyDescent="0.25">
      <c r="A24" t="e">
        <f>#REF!</f>
        <v>#REF!</v>
      </c>
      <c r="B24" s="2" t="e">
        <f>VLOOKUP(A24,#REF!,2,0)</f>
        <v>#REF!</v>
      </c>
      <c r="C24" s="5" t="e">
        <f>VLOOKUP(A24,#REF!,3,0)</f>
        <v>#REF!</v>
      </c>
      <c r="D24" s="2" t="e">
        <f>#REF!</f>
        <v>#REF!</v>
      </c>
      <c r="E24" s="8" t="e">
        <f>#REF!/100</f>
        <v>#REF!</v>
      </c>
      <c r="F24" s="7" t="e">
        <f>#REF!</f>
        <v>#REF!</v>
      </c>
    </row>
    <row r="25" spans="1:7" x14ac:dyDescent="0.25">
      <c r="A25" t="e">
        <f>#REF!</f>
        <v>#REF!</v>
      </c>
      <c r="B25" s="2" t="e">
        <f>VLOOKUP(A25,#REF!,2,0)</f>
        <v>#REF!</v>
      </c>
      <c r="C25" s="5" t="e">
        <f>VLOOKUP(A25,#REF!,3,0)</f>
        <v>#REF!</v>
      </c>
      <c r="D25" s="2" t="e">
        <f>#REF!</f>
        <v>#REF!</v>
      </c>
      <c r="E25" s="8" t="e">
        <f>#REF!/100</f>
        <v>#REF!</v>
      </c>
      <c r="F25" s="7" t="e">
        <f>#REF!</f>
        <v>#REF!</v>
      </c>
    </row>
    <row r="26" spans="1:7" x14ac:dyDescent="0.25">
      <c r="A26" t="e">
        <f>#REF!</f>
        <v>#REF!</v>
      </c>
      <c r="B26" s="2" t="e">
        <f>VLOOKUP(A26,#REF!,2,0)</f>
        <v>#REF!</v>
      </c>
      <c r="C26" s="5" t="e">
        <f>VLOOKUP(A26,#REF!,3,0)</f>
        <v>#REF!</v>
      </c>
      <c r="D26" s="2" t="e">
        <f>#REF!</f>
        <v>#REF!</v>
      </c>
      <c r="E26" s="8" t="e">
        <f>#REF!/100</f>
        <v>#REF!</v>
      </c>
      <c r="F26" s="7" t="e">
        <f>#REF!</f>
        <v>#REF!</v>
      </c>
    </row>
    <row r="27" spans="1:7" x14ac:dyDescent="0.25">
      <c r="A27" t="e">
        <f>#REF!</f>
        <v>#REF!</v>
      </c>
      <c r="B27" s="2" t="e">
        <f>VLOOKUP(A27,#REF!,2,0)</f>
        <v>#REF!</v>
      </c>
      <c r="C27" s="5" t="e">
        <f>VLOOKUP(A27,#REF!,3,0)</f>
        <v>#REF!</v>
      </c>
      <c r="D27" s="2" t="e">
        <f>#REF!</f>
        <v>#REF!</v>
      </c>
      <c r="E27" s="8" t="e">
        <f>#REF!/100</f>
        <v>#REF!</v>
      </c>
      <c r="F27" s="7" t="e">
        <f>#REF!</f>
        <v>#REF!</v>
      </c>
    </row>
    <row r="28" spans="1:7" x14ac:dyDescent="0.25">
      <c r="A28" t="e">
        <f>#REF!</f>
        <v>#REF!</v>
      </c>
      <c r="B28" s="2" t="e">
        <f>VLOOKUP(A28,#REF!,2,0)</f>
        <v>#REF!</v>
      </c>
      <c r="C28" s="5" t="e">
        <f>VLOOKUP(A28,#REF!,3,0)</f>
        <v>#REF!</v>
      </c>
      <c r="D28" s="2" t="e">
        <f>#REF!</f>
        <v>#REF!</v>
      </c>
      <c r="E28" s="8" t="e">
        <f>#REF!/100</f>
        <v>#REF!</v>
      </c>
      <c r="F28" s="7" t="e">
        <f>#REF!</f>
        <v>#REF!</v>
      </c>
    </row>
    <row r="29" spans="1:7" x14ac:dyDescent="0.25">
      <c r="A29" t="e">
        <f>#REF!</f>
        <v>#REF!</v>
      </c>
      <c r="B29" s="2" t="e">
        <f>VLOOKUP(A29,#REF!,2,0)</f>
        <v>#REF!</v>
      </c>
      <c r="C29" s="5" t="e">
        <f>VLOOKUP(A29,#REF!,3,0)</f>
        <v>#REF!</v>
      </c>
      <c r="D29" s="2" t="e">
        <f>#REF!</f>
        <v>#REF!</v>
      </c>
      <c r="E29" s="8" t="e">
        <f>#REF!/100</f>
        <v>#REF!</v>
      </c>
      <c r="F29" s="7" t="e">
        <f>#REF!</f>
        <v>#REF!</v>
      </c>
    </row>
    <row r="30" spans="1:7" hidden="1" x14ac:dyDescent="0.25">
      <c r="A30" t="e">
        <f>#REF!</f>
        <v>#REF!</v>
      </c>
      <c r="B30" s="2" t="e">
        <f>VLOOKUP(A30,#REF!,2,0)</f>
        <v>#REF!</v>
      </c>
      <c r="C30" s="5" t="e">
        <f>VLOOKUP(A30,#REF!,3,0)</f>
        <v>#REF!</v>
      </c>
      <c r="D30" s="2" t="e">
        <f>#REF!</f>
        <v>#REF!</v>
      </c>
      <c r="E30" s="8" t="e">
        <f>#REF!/100</f>
        <v>#REF!</v>
      </c>
      <c r="F30" s="7" t="e">
        <f>#REF!</f>
        <v>#REF!</v>
      </c>
    </row>
    <row r="31" spans="1:7" x14ac:dyDescent="0.25">
      <c r="A31" t="e">
        <f>#REF!</f>
        <v>#REF!</v>
      </c>
      <c r="B31" s="2" t="e">
        <f>VLOOKUP(A31,#REF!,2,0)</f>
        <v>#REF!</v>
      </c>
      <c r="C31" s="5" t="e">
        <f>VLOOKUP(A31,#REF!,3,0)</f>
        <v>#REF!</v>
      </c>
      <c r="D31" s="2" t="e">
        <f>#REF!</f>
        <v>#REF!</v>
      </c>
      <c r="E31" s="8" t="e">
        <f>#REF!/100</f>
        <v>#REF!</v>
      </c>
      <c r="F31" s="7" t="e">
        <f>#REF!</f>
        <v>#REF!</v>
      </c>
    </row>
    <row r="32" spans="1:7" x14ac:dyDescent="0.25">
      <c r="A32" t="e">
        <f>#REF!</f>
        <v>#REF!</v>
      </c>
      <c r="B32" s="2" t="e">
        <f>VLOOKUP(A32,#REF!,2,0)</f>
        <v>#REF!</v>
      </c>
      <c r="C32" s="5" t="e">
        <f>VLOOKUP(A32,#REF!,3,0)</f>
        <v>#REF!</v>
      </c>
      <c r="D32" s="2" t="e">
        <f>#REF!</f>
        <v>#REF!</v>
      </c>
      <c r="E32" s="8" t="e">
        <f>#REF!/100</f>
        <v>#REF!</v>
      </c>
      <c r="F32" s="7" t="e">
        <f>#REF!</f>
        <v>#REF!</v>
      </c>
    </row>
    <row r="33" spans="1:6" x14ac:dyDescent="0.25">
      <c r="A33" t="e">
        <f>#REF!</f>
        <v>#REF!</v>
      </c>
      <c r="B33" s="2" t="e">
        <f>VLOOKUP(A33,#REF!,2,0)</f>
        <v>#REF!</v>
      </c>
      <c r="C33" s="5" t="e">
        <f>VLOOKUP(A33,#REF!,3,0)</f>
        <v>#REF!</v>
      </c>
      <c r="D33" s="2" t="e">
        <f>#REF!</f>
        <v>#REF!</v>
      </c>
      <c r="E33" s="8" t="e">
        <f>#REF!/100</f>
        <v>#REF!</v>
      </c>
      <c r="F33" s="7" t="e">
        <f>#REF!</f>
        <v>#REF!</v>
      </c>
    </row>
    <row r="34" spans="1:6" x14ac:dyDescent="0.25">
      <c r="A34" t="e">
        <f>#REF!</f>
        <v>#REF!</v>
      </c>
      <c r="B34" s="2" t="e">
        <f>VLOOKUP(A34,#REF!,2,0)</f>
        <v>#REF!</v>
      </c>
      <c r="C34" s="5" t="e">
        <f>VLOOKUP(A34,#REF!,3,0)</f>
        <v>#REF!</v>
      </c>
      <c r="D34" s="2" t="e">
        <f>#REF!</f>
        <v>#REF!</v>
      </c>
      <c r="E34" s="8" t="e">
        <f>#REF!/100</f>
        <v>#REF!</v>
      </c>
      <c r="F34" s="7" t="e">
        <f>#REF!</f>
        <v>#REF!</v>
      </c>
    </row>
    <row r="35" spans="1:6" x14ac:dyDescent="0.25">
      <c r="A35" t="e">
        <f>#REF!</f>
        <v>#REF!</v>
      </c>
      <c r="B35" s="2" t="e">
        <f>VLOOKUP(A35,#REF!,2,0)</f>
        <v>#REF!</v>
      </c>
      <c r="C35" s="5" t="e">
        <f>VLOOKUP(A35,#REF!,3,0)</f>
        <v>#REF!</v>
      </c>
      <c r="D35" s="2" t="e">
        <f>#REF!</f>
        <v>#REF!</v>
      </c>
      <c r="E35" s="8" t="e">
        <f>#REF!/100</f>
        <v>#REF!</v>
      </c>
      <c r="F35" s="7" t="e">
        <f>#REF!</f>
        <v>#REF!</v>
      </c>
    </row>
    <row r="36" spans="1:6" x14ac:dyDescent="0.25">
      <c r="A36" t="e">
        <f>#REF!</f>
        <v>#REF!</v>
      </c>
      <c r="B36" s="2" t="e">
        <f>VLOOKUP(A36,#REF!,2,0)</f>
        <v>#REF!</v>
      </c>
      <c r="C36" s="5" t="e">
        <f>VLOOKUP(A36,#REF!,3,0)</f>
        <v>#REF!</v>
      </c>
      <c r="D36" s="2" t="e">
        <f>#REF!</f>
        <v>#REF!</v>
      </c>
      <c r="E36" s="8" t="e">
        <f>#REF!/100</f>
        <v>#REF!</v>
      </c>
      <c r="F36" s="7" t="e">
        <f>#REF!</f>
        <v>#REF!</v>
      </c>
    </row>
    <row r="37" spans="1:6" x14ac:dyDescent="0.25">
      <c r="A37" t="e">
        <f>#REF!</f>
        <v>#REF!</v>
      </c>
      <c r="B37" s="2" t="e">
        <f>VLOOKUP(A37,#REF!,2,0)</f>
        <v>#REF!</v>
      </c>
      <c r="C37" s="5" t="e">
        <f>VLOOKUP(A37,#REF!,3,0)</f>
        <v>#REF!</v>
      </c>
      <c r="D37" s="2" t="e">
        <f>#REF!</f>
        <v>#REF!</v>
      </c>
      <c r="E37" s="8" t="e">
        <f>#REF!/100</f>
        <v>#REF!</v>
      </c>
      <c r="F37" s="7" t="e">
        <f>#REF!</f>
        <v>#REF!</v>
      </c>
    </row>
    <row r="38" spans="1:6" x14ac:dyDescent="0.25">
      <c r="A38" t="e">
        <f>#REF!</f>
        <v>#REF!</v>
      </c>
      <c r="B38" s="2" t="e">
        <f>VLOOKUP(A38,#REF!,2,0)</f>
        <v>#REF!</v>
      </c>
      <c r="C38" s="5" t="e">
        <f>VLOOKUP(A38,#REF!,3,0)</f>
        <v>#REF!</v>
      </c>
      <c r="D38" s="2" t="e">
        <f>#REF!</f>
        <v>#REF!</v>
      </c>
      <c r="E38" s="8" t="e">
        <f>#REF!/100</f>
        <v>#REF!</v>
      </c>
      <c r="F38" s="7" t="e">
        <f>#REF!</f>
        <v>#REF!</v>
      </c>
    </row>
    <row r="39" spans="1:6" x14ac:dyDescent="0.25">
      <c r="A39" t="e">
        <f>#REF!</f>
        <v>#REF!</v>
      </c>
      <c r="B39" s="2" t="e">
        <f>VLOOKUP(A39,#REF!,2,0)</f>
        <v>#REF!</v>
      </c>
      <c r="C39" s="5" t="e">
        <f>VLOOKUP(A39,#REF!,3,0)</f>
        <v>#REF!</v>
      </c>
      <c r="D39" s="2" t="e">
        <f>#REF!</f>
        <v>#REF!</v>
      </c>
      <c r="E39" s="8" t="e">
        <f>#REF!/100</f>
        <v>#REF!</v>
      </c>
      <c r="F39" s="7" t="e">
        <f>#REF!</f>
        <v>#REF!</v>
      </c>
    </row>
    <row r="40" spans="1:6" x14ac:dyDescent="0.25">
      <c r="A40" t="e">
        <f>#REF!</f>
        <v>#REF!</v>
      </c>
      <c r="B40" s="2" t="e">
        <f>VLOOKUP(A40,#REF!,2,0)</f>
        <v>#REF!</v>
      </c>
      <c r="C40" s="5" t="e">
        <f>VLOOKUP(A40,#REF!,3,0)</f>
        <v>#REF!</v>
      </c>
      <c r="D40" s="2" t="e">
        <f>#REF!</f>
        <v>#REF!</v>
      </c>
      <c r="E40" s="8" t="e">
        <f>#REF!/100</f>
        <v>#REF!</v>
      </c>
      <c r="F40" s="7" t="e">
        <f>#REF!</f>
        <v>#REF!</v>
      </c>
    </row>
    <row r="41" spans="1:6" hidden="1" x14ac:dyDescent="0.25">
      <c r="A41" t="e">
        <f>#REF!</f>
        <v>#REF!</v>
      </c>
      <c r="B41" s="2" t="e">
        <f>VLOOKUP(A41,#REF!,2,0)</f>
        <v>#REF!</v>
      </c>
      <c r="C41" s="5" t="e">
        <f>VLOOKUP(A41,#REF!,3,0)</f>
        <v>#REF!</v>
      </c>
      <c r="D41" s="2" t="e">
        <f>#REF!</f>
        <v>#REF!</v>
      </c>
      <c r="E41" s="8" t="e">
        <f>#REF!/100</f>
        <v>#REF!</v>
      </c>
      <c r="F41" s="7" t="e">
        <f>#REF!</f>
        <v>#REF!</v>
      </c>
    </row>
    <row r="42" spans="1:6" x14ac:dyDescent="0.25">
      <c r="A42" t="e">
        <f>#REF!</f>
        <v>#REF!</v>
      </c>
      <c r="B42" s="2" t="e">
        <f>VLOOKUP(A42,#REF!,2,0)</f>
        <v>#REF!</v>
      </c>
      <c r="C42" s="5" t="e">
        <f>VLOOKUP(A42,#REF!,3,0)</f>
        <v>#REF!</v>
      </c>
      <c r="D42" s="2" t="e">
        <f>#REF!</f>
        <v>#REF!</v>
      </c>
      <c r="E42" s="8" t="e">
        <f>#REF!/100</f>
        <v>#REF!</v>
      </c>
      <c r="F42" s="7" t="e">
        <f>#REF!</f>
        <v>#REF!</v>
      </c>
    </row>
    <row r="43" spans="1:6" x14ac:dyDescent="0.25">
      <c r="A43" t="e">
        <f>#REF!</f>
        <v>#REF!</v>
      </c>
      <c r="B43" s="2" t="e">
        <f>VLOOKUP(A43,#REF!,2,0)</f>
        <v>#REF!</v>
      </c>
      <c r="C43" s="5" t="e">
        <f>VLOOKUP(A43,#REF!,3,0)</f>
        <v>#REF!</v>
      </c>
      <c r="D43" s="2" t="e">
        <f>#REF!</f>
        <v>#REF!</v>
      </c>
      <c r="E43" s="8" t="e">
        <f>#REF!/100</f>
        <v>#REF!</v>
      </c>
      <c r="F43" s="7" t="e">
        <f>#REF!</f>
        <v>#REF!</v>
      </c>
    </row>
    <row r="44" spans="1:6" x14ac:dyDescent="0.25">
      <c r="A44" t="e">
        <f>#REF!</f>
        <v>#REF!</v>
      </c>
      <c r="B44" s="2" t="e">
        <f>VLOOKUP(A44,#REF!,2,0)</f>
        <v>#REF!</v>
      </c>
      <c r="C44" s="5" t="e">
        <f>VLOOKUP(A44,#REF!,3,0)</f>
        <v>#REF!</v>
      </c>
      <c r="D44" s="2" t="e">
        <f>#REF!</f>
        <v>#REF!</v>
      </c>
      <c r="E44" s="8" t="e">
        <f>#REF!/100</f>
        <v>#REF!</v>
      </c>
      <c r="F44" s="7" t="e">
        <f>#REF!</f>
        <v>#REF!</v>
      </c>
    </row>
    <row r="45" spans="1:6" x14ac:dyDescent="0.25">
      <c r="A45" t="e">
        <f>#REF!</f>
        <v>#REF!</v>
      </c>
      <c r="B45" s="2" t="e">
        <f>VLOOKUP(A45,#REF!,2,0)</f>
        <v>#REF!</v>
      </c>
      <c r="C45" s="5" t="e">
        <f>VLOOKUP(A45,#REF!,3,0)</f>
        <v>#REF!</v>
      </c>
      <c r="D45" s="2" t="e">
        <f>#REF!</f>
        <v>#REF!</v>
      </c>
      <c r="E45" s="8" t="e">
        <f>#REF!/100</f>
        <v>#REF!</v>
      </c>
      <c r="F45" s="7" t="e">
        <f>#REF!</f>
        <v>#REF!</v>
      </c>
    </row>
    <row r="46" spans="1:6" x14ac:dyDescent="0.25">
      <c r="A46" t="e">
        <f>#REF!</f>
        <v>#REF!</v>
      </c>
      <c r="B46" s="2" t="e">
        <f>VLOOKUP(A46,#REF!,2,0)</f>
        <v>#REF!</v>
      </c>
      <c r="C46" s="5" t="e">
        <f>VLOOKUP(A46,#REF!,3,0)</f>
        <v>#REF!</v>
      </c>
      <c r="D46" s="2" t="e">
        <f>#REF!</f>
        <v>#REF!</v>
      </c>
      <c r="E46" s="8" t="e">
        <f>#REF!/100</f>
        <v>#REF!</v>
      </c>
      <c r="F46" s="7" t="e">
        <f>#REF!</f>
        <v>#REF!</v>
      </c>
    </row>
    <row r="47" spans="1:6" x14ac:dyDescent="0.25">
      <c r="A47" t="e">
        <f>#REF!</f>
        <v>#REF!</v>
      </c>
      <c r="B47" s="2" t="e">
        <f>VLOOKUP(A47,#REF!,2,0)</f>
        <v>#REF!</v>
      </c>
      <c r="C47" s="5" t="e">
        <f>VLOOKUP(A47,#REF!,3,0)</f>
        <v>#REF!</v>
      </c>
      <c r="D47" s="2" t="e">
        <f>#REF!</f>
        <v>#REF!</v>
      </c>
      <c r="E47" s="8" t="e">
        <f>#REF!/100</f>
        <v>#REF!</v>
      </c>
      <c r="F47" s="7" t="e">
        <f>#REF!</f>
        <v>#REF!</v>
      </c>
    </row>
    <row r="48" spans="1:6" x14ac:dyDescent="0.25">
      <c r="A48" t="e">
        <f>#REF!</f>
        <v>#REF!</v>
      </c>
      <c r="B48" s="2" t="e">
        <f>VLOOKUP(A48,#REF!,2,0)</f>
        <v>#REF!</v>
      </c>
      <c r="C48" s="5" t="e">
        <f>VLOOKUP(A48,#REF!,3,0)</f>
        <v>#REF!</v>
      </c>
      <c r="D48" s="2" t="e">
        <f>#REF!</f>
        <v>#REF!</v>
      </c>
      <c r="E48" s="8" t="e">
        <f>#REF!/100</f>
        <v>#REF!</v>
      </c>
      <c r="F48" s="7" t="e">
        <f>#REF!</f>
        <v>#REF!</v>
      </c>
    </row>
    <row r="49" spans="1:6" x14ac:dyDescent="0.25">
      <c r="A49" t="e">
        <f>#REF!</f>
        <v>#REF!</v>
      </c>
      <c r="B49" s="2" t="e">
        <f>VLOOKUP(A49,#REF!,2,0)</f>
        <v>#REF!</v>
      </c>
      <c r="C49" s="5" t="e">
        <f>VLOOKUP(A49,#REF!,3,0)</f>
        <v>#REF!</v>
      </c>
      <c r="D49" s="2" t="e">
        <f>#REF!</f>
        <v>#REF!</v>
      </c>
      <c r="E49" s="8" t="e">
        <f>#REF!/100</f>
        <v>#REF!</v>
      </c>
      <c r="F49" s="7" t="e">
        <f>#REF!</f>
        <v>#REF!</v>
      </c>
    </row>
    <row r="50" spans="1:6" x14ac:dyDescent="0.25">
      <c r="A50" t="e">
        <f>#REF!</f>
        <v>#REF!</v>
      </c>
      <c r="B50" s="2" t="e">
        <f>VLOOKUP(A50,#REF!,2,0)</f>
        <v>#REF!</v>
      </c>
      <c r="C50" s="5" t="e">
        <f>VLOOKUP(A50,#REF!,3,0)</f>
        <v>#REF!</v>
      </c>
      <c r="D50" s="2" t="e">
        <f>#REF!</f>
        <v>#REF!</v>
      </c>
      <c r="E50" s="8" t="e">
        <f>#REF!/100</f>
        <v>#REF!</v>
      </c>
      <c r="F50" s="7" t="e">
        <f>#REF!</f>
        <v>#REF!</v>
      </c>
    </row>
    <row r="51" spans="1:6" x14ac:dyDescent="0.25">
      <c r="A51" t="e">
        <f>#REF!</f>
        <v>#REF!</v>
      </c>
      <c r="B51" s="2" t="e">
        <f>VLOOKUP(A51,#REF!,2,0)</f>
        <v>#REF!</v>
      </c>
      <c r="C51" s="5" t="e">
        <f>VLOOKUP(A51,#REF!,3,0)</f>
        <v>#REF!</v>
      </c>
      <c r="D51" s="2" t="e">
        <f>#REF!</f>
        <v>#REF!</v>
      </c>
      <c r="E51" s="8" t="e">
        <f>#REF!/100</f>
        <v>#REF!</v>
      </c>
      <c r="F51" s="7" t="e">
        <f>#REF!</f>
        <v>#REF!</v>
      </c>
    </row>
    <row r="52" spans="1:6" x14ac:dyDescent="0.25">
      <c r="A52" t="e">
        <f>#REF!</f>
        <v>#REF!</v>
      </c>
      <c r="B52" s="2" t="e">
        <f>VLOOKUP(A52,#REF!,2,0)</f>
        <v>#REF!</v>
      </c>
      <c r="C52" s="5" t="e">
        <f>VLOOKUP(A52,#REF!,3,0)</f>
        <v>#REF!</v>
      </c>
      <c r="D52" s="2" t="e">
        <f>#REF!</f>
        <v>#REF!</v>
      </c>
      <c r="E52" s="8" t="e">
        <f>#REF!/100</f>
        <v>#REF!</v>
      </c>
      <c r="F52" s="7" t="e">
        <f>#REF!</f>
        <v>#REF!</v>
      </c>
    </row>
    <row r="53" spans="1:6" x14ac:dyDescent="0.25">
      <c r="A53" t="e">
        <f>#REF!</f>
        <v>#REF!</v>
      </c>
      <c r="B53" s="2" t="e">
        <f>VLOOKUP(A53,#REF!,2,0)</f>
        <v>#REF!</v>
      </c>
      <c r="C53" s="5" t="e">
        <f>VLOOKUP(A53,#REF!,3,0)</f>
        <v>#REF!</v>
      </c>
      <c r="D53" s="2" t="e">
        <f>#REF!</f>
        <v>#REF!</v>
      </c>
      <c r="E53" s="8" t="e">
        <f>#REF!/100</f>
        <v>#REF!</v>
      </c>
      <c r="F53" s="7" t="e">
        <f>#REF!</f>
        <v>#REF!</v>
      </c>
    </row>
    <row r="54" spans="1:6" x14ac:dyDescent="0.25">
      <c r="A54" t="e">
        <f>#REF!</f>
        <v>#REF!</v>
      </c>
      <c r="B54" s="2" t="e">
        <f>VLOOKUP(A54,#REF!,2,0)</f>
        <v>#REF!</v>
      </c>
      <c r="C54" s="5" t="e">
        <f>VLOOKUP(A54,#REF!,3,0)</f>
        <v>#REF!</v>
      </c>
      <c r="D54" s="2" t="e">
        <f>#REF!</f>
        <v>#REF!</v>
      </c>
      <c r="E54" s="8" t="e">
        <f>#REF!/100</f>
        <v>#REF!</v>
      </c>
      <c r="F54" s="7" t="e">
        <f>#REF!</f>
        <v>#REF!</v>
      </c>
    </row>
    <row r="55" spans="1:6" x14ac:dyDescent="0.25">
      <c r="A55" t="e">
        <f>#REF!</f>
        <v>#REF!</v>
      </c>
      <c r="B55" s="2" t="e">
        <f>VLOOKUP(A55,#REF!,2,0)</f>
        <v>#REF!</v>
      </c>
      <c r="C55" s="5" t="e">
        <f>VLOOKUP(A55,#REF!,3,0)</f>
        <v>#REF!</v>
      </c>
      <c r="D55" s="2" t="e">
        <f>#REF!</f>
        <v>#REF!</v>
      </c>
      <c r="E55" s="8" t="e">
        <f>#REF!/100</f>
        <v>#REF!</v>
      </c>
      <c r="F55" s="7" t="e">
        <f>#REF!</f>
        <v>#REF!</v>
      </c>
    </row>
    <row r="56" spans="1:6" x14ac:dyDescent="0.25">
      <c r="A56" t="e">
        <f>#REF!</f>
        <v>#REF!</v>
      </c>
      <c r="B56" s="2" t="e">
        <f>VLOOKUP(A56,#REF!,2,0)</f>
        <v>#REF!</v>
      </c>
      <c r="C56" s="5" t="e">
        <f>VLOOKUP(A56,#REF!,3,0)</f>
        <v>#REF!</v>
      </c>
      <c r="D56" s="2" t="e">
        <f>#REF!</f>
        <v>#REF!</v>
      </c>
      <c r="E56" s="8" t="e">
        <f>#REF!/100</f>
        <v>#REF!</v>
      </c>
      <c r="F56" s="7" t="e">
        <f>#REF!</f>
        <v>#REF!</v>
      </c>
    </row>
    <row r="57" spans="1:6" x14ac:dyDescent="0.25">
      <c r="A57" t="e">
        <f>#REF!</f>
        <v>#REF!</v>
      </c>
      <c r="B57" s="2" t="e">
        <f>VLOOKUP(A57,#REF!,2,0)</f>
        <v>#REF!</v>
      </c>
      <c r="C57" s="5" t="e">
        <f>VLOOKUP(A57,#REF!,3,0)</f>
        <v>#REF!</v>
      </c>
      <c r="D57" s="2" t="e">
        <f>#REF!</f>
        <v>#REF!</v>
      </c>
      <c r="E57" s="8" t="e">
        <f>#REF!/100</f>
        <v>#REF!</v>
      </c>
      <c r="F57" s="7" t="e">
        <f>#REF!</f>
        <v>#REF!</v>
      </c>
    </row>
    <row r="58" spans="1:6" x14ac:dyDescent="0.25">
      <c r="A58" t="e">
        <f>#REF!</f>
        <v>#REF!</v>
      </c>
      <c r="B58" s="2" t="e">
        <f>VLOOKUP(A58,#REF!,2,0)</f>
        <v>#REF!</v>
      </c>
      <c r="C58" s="5" t="e">
        <f>VLOOKUP(A58,#REF!,3,0)</f>
        <v>#REF!</v>
      </c>
      <c r="D58" s="2" t="e">
        <f>#REF!</f>
        <v>#REF!</v>
      </c>
      <c r="E58" s="8" t="e">
        <f>#REF!/100</f>
        <v>#REF!</v>
      </c>
      <c r="F58" s="7" t="e">
        <f>#REF!</f>
        <v>#REF!</v>
      </c>
    </row>
    <row r="59" spans="1:6" x14ac:dyDescent="0.25">
      <c r="A59" t="e">
        <f>#REF!</f>
        <v>#REF!</v>
      </c>
      <c r="B59" s="2" t="e">
        <f>VLOOKUP(A59,#REF!,2,0)</f>
        <v>#REF!</v>
      </c>
      <c r="C59" s="5" t="e">
        <f>VLOOKUP(A59,#REF!,3,0)</f>
        <v>#REF!</v>
      </c>
      <c r="D59" s="2" t="e">
        <f>#REF!</f>
        <v>#REF!</v>
      </c>
      <c r="E59" s="8" t="e">
        <f>#REF!/100</f>
        <v>#REF!</v>
      </c>
      <c r="F59" s="7" t="e">
        <f>#REF!</f>
        <v>#REF!</v>
      </c>
    </row>
    <row r="60" spans="1:6" x14ac:dyDescent="0.25">
      <c r="A60" t="e">
        <f>#REF!</f>
        <v>#REF!</v>
      </c>
      <c r="B60" s="2" t="e">
        <f>VLOOKUP(A60,#REF!,2,0)</f>
        <v>#REF!</v>
      </c>
      <c r="C60" s="5" t="e">
        <f>VLOOKUP(A60,#REF!,3,0)</f>
        <v>#REF!</v>
      </c>
      <c r="D60" s="2" t="e">
        <f>#REF!</f>
        <v>#REF!</v>
      </c>
      <c r="E60" s="8" t="e">
        <f>#REF!/100</f>
        <v>#REF!</v>
      </c>
      <c r="F60" s="7" t="e">
        <f>#REF!</f>
        <v>#REF!</v>
      </c>
    </row>
    <row r="61" spans="1:6" x14ac:dyDescent="0.25">
      <c r="A61" t="e">
        <f>#REF!</f>
        <v>#REF!</v>
      </c>
      <c r="B61" s="2" t="e">
        <f>VLOOKUP(A61,#REF!,2,0)</f>
        <v>#REF!</v>
      </c>
      <c r="C61" s="5" t="e">
        <f>VLOOKUP(A61,#REF!,3,0)</f>
        <v>#REF!</v>
      </c>
      <c r="D61" s="2" t="e">
        <f>#REF!</f>
        <v>#REF!</v>
      </c>
      <c r="E61" s="8" t="e">
        <f>#REF!/100</f>
        <v>#REF!</v>
      </c>
      <c r="F61" s="7" t="e">
        <f>#REF!</f>
        <v>#REF!</v>
      </c>
    </row>
    <row r="62" spans="1:6" x14ac:dyDescent="0.25">
      <c r="A62" t="e">
        <f>#REF!</f>
        <v>#REF!</v>
      </c>
      <c r="B62" s="2" t="e">
        <f>VLOOKUP(A62,#REF!,2,0)</f>
        <v>#REF!</v>
      </c>
      <c r="C62" s="5" t="e">
        <f>VLOOKUP(A62,#REF!,3,0)</f>
        <v>#REF!</v>
      </c>
      <c r="D62" s="2" t="e">
        <f>#REF!</f>
        <v>#REF!</v>
      </c>
      <c r="E62" s="8" t="e">
        <f>#REF!/100</f>
        <v>#REF!</v>
      </c>
      <c r="F62" s="7" t="e">
        <f>#REF!</f>
        <v>#REF!</v>
      </c>
    </row>
    <row r="63" spans="1:6" x14ac:dyDescent="0.25">
      <c r="A63" t="e">
        <f>#REF!</f>
        <v>#REF!</v>
      </c>
      <c r="B63" s="2" t="e">
        <f>VLOOKUP(A63,#REF!,2,0)</f>
        <v>#REF!</v>
      </c>
      <c r="C63" s="5" t="e">
        <f>VLOOKUP(A63,#REF!,3,0)</f>
        <v>#REF!</v>
      </c>
      <c r="D63" s="2" t="e">
        <f>#REF!</f>
        <v>#REF!</v>
      </c>
      <c r="E63" s="8" t="e">
        <f>#REF!/100</f>
        <v>#REF!</v>
      </c>
      <c r="F63" s="7" t="e">
        <f>#REF!</f>
        <v>#REF!</v>
      </c>
    </row>
    <row r="64" spans="1:6" x14ac:dyDescent="0.25">
      <c r="A64" t="e">
        <f>#REF!</f>
        <v>#REF!</v>
      </c>
      <c r="B64" s="2" t="e">
        <f>VLOOKUP(A64,#REF!,2,0)</f>
        <v>#REF!</v>
      </c>
      <c r="C64" s="5" t="e">
        <f>VLOOKUP(A64,#REF!,3,0)</f>
        <v>#REF!</v>
      </c>
      <c r="D64" s="2" t="e">
        <f>#REF!</f>
        <v>#REF!</v>
      </c>
      <c r="E64" s="8" t="e">
        <f>#REF!/100</f>
        <v>#REF!</v>
      </c>
      <c r="F64" s="7" t="e">
        <f>#REF!</f>
        <v>#REF!</v>
      </c>
    </row>
    <row r="65" spans="1:6" x14ac:dyDescent="0.25">
      <c r="A65" t="e">
        <f>#REF!</f>
        <v>#REF!</v>
      </c>
      <c r="B65" s="2" t="e">
        <f>VLOOKUP(A65,#REF!,2,0)</f>
        <v>#REF!</v>
      </c>
      <c r="C65" s="5" t="e">
        <f>VLOOKUP(A65,#REF!,3,0)</f>
        <v>#REF!</v>
      </c>
      <c r="D65" s="2" t="e">
        <f>#REF!</f>
        <v>#REF!</v>
      </c>
      <c r="E65" s="8" t="e">
        <f>#REF!/100</f>
        <v>#REF!</v>
      </c>
      <c r="F65" s="7" t="e">
        <f>#REF!</f>
        <v>#REF!</v>
      </c>
    </row>
    <row r="66" spans="1:6" x14ac:dyDescent="0.25">
      <c r="A66" t="e">
        <f>#REF!</f>
        <v>#REF!</v>
      </c>
      <c r="B66" s="2" t="e">
        <f>VLOOKUP(A66,#REF!,2,0)</f>
        <v>#REF!</v>
      </c>
      <c r="C66" s="5" t="e">
        <f>VLOOKUP(A66,#REF!,3,0)</f>
        <v>#REF!</v>
      </c>
      <c r="D66" s="2" t="e">
        <f>#REF!</f>
        <v>#REF!</v>
      </c>
      <c r="E66" s="8" t="e">
        <f>#REF!/100</f>
        <v>#REF!</v>
      </c>
      <c r="F66" s="7" t="e">
        <f>#REF!</f>
        <v>#REF!</v>
      </c>
    </row>
    <row r="67" spans="1:6" x14ac:dyDescent="0.25">
      <c r="A67" t="e">
        <f>#REF!</f>
        <v>#REF!</v>
      </c>
      <c r="B67" s="2" t="e">
        <f>VLOOKUP(A67,#REF!,2,0)</f>
        <v>#REF!</v>
      </c>
      <c r="C67" s="5" t="e">
        <f>VLOOKUP(A67,#REF!,3,0)</f>
        <v>#REF!</v>
      </c>
      <c r="D67" s="2" t="e">
        <f>#REF!</f>
        <v>#REF!</v>
      </c>
      <c r="E67" s="8" t="e">
        <f>#REF!/100</f>
        <v>#REF!</v>
      </c>
      <c r="F67" s="7" t="e">
        <f>#REF!</f>
        <v>#REF!</v>
      </c>
    </row>
    <row r="68" spans="1:6" x14ac:dyDescent="0.25">
      <c r="A68" t="e">
        <f>#REF!</f>
        <v>#REF!</v>
      </c>
      <c r="B68" s="2" t="e">
        <f>VLOOKUP(A68,#REF!,2,0)</f>
        <v>#REF!</v>
      </c>
      <c r="C68" s="5" t="e">
        <f>VLOOKUP(A68,#REF!,3,0)</f>
        <v>#REF!</v>
      </c>
      <c r="D68" s="2" t="e">
        <f>#REF!</f>
        <v>#REF!</v>
      </c>
      <c r="E68" s="8" t="e">
        <f>#REF!/100</f>
        <v>#REF!</v>
      </c>
      <c r="F68" s="7" t="e">
        <f>#REF!</f>
        <v>#REF!</v>
      </c>
    </row>
    <row r="69" spans="1:6" x14ac:dyDescent="0.25">
      <c r="A69" t="e">
        <f>#REF!</f>
        <v>#REF!</v>
      </c>
      <c r="B69" s="2" t="e">
        <f>VLOOKUP(A69,#REF!,2,0)</f>
        <v>#REF!</v>
      </c>
      <c r="C69" s="5" t="e">
        <f>VLOOKUP(A69,#REF!,3,0)</f>
        <v>#REF!</v>
      </c>
      <c r="D69" s="2" t="e">
        <f>#REF!</f>
        <v>#REF!</v>
      </c>
      <c r="E69" s="8" t="e">
        <f>#REF!/100</f>
        <v>#REF!</v>
      </c>
      <c r="F69" s="7" t="e">
        <f>#REF!</f>
        <v>#REF!</v>
      </c>
    </row>
    <row r="70" spans="1:6" x14ac:dyDescent="0.25">
      <c r="A70" t="e">
        <f>#REF!</f>
        <v>#REF!</v>
      </c>
      <c r="B70" s="2" t="e">
        <f>VLOOKUP(A70,#REF!,2,0)</f>
        <v>#REF!</v>
      </c>
      <c r="C70" s="5" t="e">
        <f>VLOOKUP(A70,#REF!,3,0)</f>
        <v>#REF!</v>
      </c>
      <c r="D70" s="2" t="e">
        <f>#REF!</f>
        <v>#REF!</v>
      </c>
      <c r="E70" s="8" t="e">
        <f>#REF!/100</f>
        <v>#REF!</v>
      </c>
      <c r="F70" s="7" t="e">
        <f>#REF!</f>
        <v>#REF!</v>
      </c>
    </row>
    <row r="71" spans="1:6" x14ac:dyDescent="0.25">
      <c r="A71" t="e">
        <f>#REF!</f>
        <v>#REF!</v>
      </c>
      <c r="B71" s="2" t="e">
        <f>VLOOKUP(A71,#REF!,2,0)</f>
        <v>#REF!</v>
      </c>
      <c r="C71" s="5" t="e">
        <f>VLOOKUP(A71,#REF!,3,0)</f>
        <v>#REF!</v>
      </c>
      <c r="D71" s="2" t="e">
        <f>#REF!</f>
        <v>#REF!</v>
      </c>
      <c r="E71" s="8" t="e">
        <f>#REF!/100</f>
        <v>#REF!</v>
      </c>
      <c r="F71" s="7" t="e">
        <f>#REF!</f>
        <v>#REF!</v>
      </c>
    </row>
    <row r="72" spans="1:6" x14ac:dyDescent="0.25">
      <c r="A72" t="e">
        <f>#REF!</f>
        <v>#REF!</v>
      </c>
      <c r="B72" s="2" t="e">
        <f>VLOOKUP(A72,#REF!,2,0)</f>
        <v>#REF!</v>
      </c>
      <c r="C72" s="5" t="e">
        <f>VLOOKUP(A72,#REF!,3,0)</f>
        <v>#REF!</v>
      </c>
      <c r="D72" s="2" t="e">
        <f>#REF!</f>
        <v>#REF!</v>
      </c>
      <c r="E72" s="8" t="e">
        <f>#REF!/100</f>
        <v>#REF!</v>
      </c>
      <c r="F72" s="7" t="e">
        <f>#REF!</f>
        <v>#REF!</v>
      </c>
    </row>
    <row r="73" spans="1:6" x14ac:dyDescent="0.25">
      <c r="A73" t="e">
        <f>#REF!</f>
        <v>#REF!</v>
      </c>
      <c r="B73" s="2" t="e">
        <f>VLOOKUP(A73,#REF!,2,0)</f>
        <v>#REF!</v>
      </c>
      <c r="C73" s="5" t="e">
        <f>VLOOKUP(A73,#REF!,3,0)</f>
        <v>#REF!</v>
      </c>
      <c r="D73" s="2" t="e">
        <f>#REF!</f>
        <v>#REF!</v>
      </c>
      <c r="E73" s="8" t="e">
        <f>#REF!/100</f>
        <v>#REF!</v>
      </c>
      <c r="F73" s="7" t="e">
        <f>#REF!</f>
        <v>#REF!</v>
      </c>
    </row>
    <row r="74" spans="1:6" x14ac:dyDescent="0.25">
      <c r="A74" t="e">
        <f>#REF!</f>
        <v>#REF!</v>
      </c>
      <c r="B74" s="2" t="e">
        <f>VLOOKUP(A74,#REF!,2,0)</f>
        <v>#REF!</v>
      </c>
      <c r="C74" s="5" t="e">
        <f>VLOOKUP(A74,#REF!,3,0)</f>
        <v>#REF!</v>
      </c>
      <c r="D74" s="2" t="e">
        <f>#REF!</f>
        <v>#REF!</v>
      </c>
      <c r="E74" s="8" t="e">
        <f>#REF!/100</f>
        <v>#REF!</v>
      </c>
      <c r="F74" s="7" t="e">
        <f>#REF!</f>
        <v>#REF!</v>
      </c>
    </row>
    <row r="75" spans="1:6" x14ac:dyDescent="0.25">
      <c r="A75" t="e">
        <f>#REF!</f>
        <v>#REF!</v>
      </c>
      <c r="B75" s="2" t="e">
        <f>VLOOKUP(A75,#REF!,2,0)</f>
        <v>#REF!</v>
      </c>
      <c r="C75" s="5" t="e">
        <f>VLOOKUP(A75,#REF!,3,0)</f>
        <v>#REF!</v>
      </c>
      <c r="D75" s="2" t="e">
        <f>#REF!</f>
        <v>#REF!</v>
      </c>
      <c r="E75" s="8" t="e">
        <f>#REF!/100</f>
        <v>#REF!</v>
      </c>
      <c r="F75" s="7" t="e">
        <f>#REF!</f>
        <v>#REF!</v>
      </c>
    </row>
    <row r="76" spans="1:6" x14ac:dyDescent="0.25">
      <c r="A76" t="e">
        <f>#REF!</f>
        <v>#REF!</v>
      </c>
      <c r="B76" s="2" t="e">
        <f>VLOOKUP(A76,#REF!,2,0)</f>
        <v>#REF!</v>
      </c>
      <c r="C76" s="5" t="e">
        <f>VLOOKUP(A76,#REF!,3,0)</f>
        <v>#REF!</v>
      </c>
      <c r="D76" s="2" t="e">
        <f>#REF!</f>
        <v>#REF!</v>
      </c>
      <c r="E76" s="8" t="e">
        <f>#REF!/100</f>
        <v>#REF!</v>
      </c>
      <c r="F76" s="7" t="e">
        <f>#REF!</f>
        <v>#REF!</v>
      </c>
    </row>
    <row r="77" spans="1:6" hidden="1" x14ac:dyDescent="0.25">
      <c r="A77" t="e">
        <f>#REF!</f>
        <v>#REF!</v>
      </c>
      <c r="B77" s="2" t="e">
        <f>VLOOKUP(A77,#REF!,2,0)</f>
        <v>#REF!</v>
      </c>
      <c r="C77" s="5" t="e">
        <f>VLOOKUP(A77,#REF!,3,0)</f>
        <v>#REF!</v>
      </c>
      <c r="D77" s="2" t="e">
        <f>#REF!</f>
        <v>#REF!</v>
      </c>
      <c r="E77" s="8" t="e">
        <f>#REF!/100</f>
        <v>#REF!</v>
      </c>
      <c r="F77" s="7" t="e">
        <f>#REF!</f>
        <v>#REF!</v>
      </c>
    </row>
    <row r="78" spans="1:6" x14ac:dyDescent="0.25">
      <c r="A78" t="e">
        <f>#REF!</f>
        <v>#REF!</v>
      </c>
      <c r="B78" s="2" t="e">
        <f>VLOOKUP(A78,#REF!,2,0)</f>
        <v>#REF!</v>
      </c>
      <c r="C78" s="5" t="e">
        <f>VLOOKUP(A78,#REF!,3,0)</f>
        <v>#REF!</v>
      </c>
      <c r="D78" s="2" t="e">
        <f>#REF!</f>
        <v>#REF!</v>
      </c>
      <c r="E78" s="8" t="e">
        <f>#REF!/100</f>
        <v>#REF!</v>
      </c>
      <c r="F78" s="7" t="e">
        <f>#REF!</f>
        <v>#REF!</v>
      </c>
    </row>
    <row r="79" spans="1:6" x14ac:dyDescent="0.25">
      <c r="A79" t="e">
        <f>#REF!</f>
        <v>#REF!</v>
      </c>
      <c r="B79" s="2" t="e">
        <f>VLOOKUP(A79,#REF!,2,0)</f>
        <v>#REF!</v>
      </c>
      <c r="C79" s="5" t="e">
        <f>VLOOKUP(A79,#REF!,3,0)</f>
        <v>#REF!</v>
      </c>
      <c r="D79" s="2" t="e">
        <f>#REF!</f>
        <v>#REF!</v>
      </c>
      <c r="E79" s="8" t="e">
        <f>#REF!/100</f>
        <v>#REF!</v>
      </c>
      <c r="F79" s="7" t="e">
        <f>#REF!</f>
        <v>#REF!</v>
      </c>
    </row>
    <row r="80" spans="1:6" x14ac:dyDescent="0.25">
      <c r="A80" t="e">
        <f>#REF!</f>
        <v>#REF!</v>
      </c>
      <c r="B80" s="2" t="e">
        <f>VLOOKUP(A80,#REF!,2,0)</f>
        <v>#REF!</v>
      </c>
      <c r="C80" s="5" t="e">
        <f>VLOOKUP(A80,#REF!,3,0)</f>
        <v>#REF!</v>
      </c>
      <c r="D80" s="2" t="e">
        <f>#REF!</f>
        <v>#REF!</v>
      </c>
      <c r="E80" s="8" t="e">
        <f>#REF!/100</f>
        <v>#REF!</v>
      </c>
      <c r="F80" s="7" t="e">
        <f>#REF!</f>
        <v>#REF!</v>
      </c>
    </row>
    <row r="81" spans="1:6" x14ac:dyDescent="0.25">
      <c r="A81" t="e">
        <f>#REF!</f>
        <v>#REF!</v>
      </c>
      <c r="B81" s="2" t="e">
        <f>VLOOKUP(A81,#REF!,2,0)</f>
        <v>#REF!</v>
      </c>
      <c r="C81" s="5" t="e">
        <f>VLOOKUP(A81,#REF!,3,0)</f>
        <v>#REF!</v>
      </c>
      <c r="D81" s="2" t="e">
        <f>#REF!</f>
        <v>#REF!</v>
      </c>
      <c r="E81" s="8" t="e">
        <f>#REF!/100</f>
        <v>#REF!</v>
      </c>
      <c r="F81" s="7" t="e">
        <f>#REF!</f>
        <v>#REF!</v>
      </c>
    </row>
    <row r="82" spans="1:6" x14ac:dyDescent="0.25">
      <c r="A82" t="e">
        <f>#REF!</f>
        <v>#REF!</v>
      </c>
      <c r="B82" s="2" t="e">
        <f>VLOOKUP(A82,#REF!,2,0)</f>
        <v>#REF!</v>
      </c>
      <c r="C82" s="5" t="e">
        <f>VLOOKUP(A82,#REF!,3,0)</f>
        <v>#REF!</v>
      </c>
      <c r="D82" s="2" t="e">
        <f>#REF!</f>
        <v>#REF!</v>
      </c>
      <c r="E82" s="8" t="e">
        <f>#REF!/100</f>
        <v>#REF!</v>
      </c>
      <c r="F82" s="7" t="e">
        <f>#REF!</f>
        <v>#REF!</v>
      </c>
    </row>
    <row r="83" spans="1:6" hidden="1" x14ac:dyDescent="0.25">
      <c r="A83" t="e">
        <f>#REF!</f>
        <v>#REF!</v>
      </c>
      <c r="B83" s="2" t="e">
        <f>VLOOKUP(A83,#REF!,2,0)</f>
        <v>#REF!</v>
      </c>
      <c r="C83" s="5" t="e">
        <f>VLOOKUP(A83,#REF!,3,0)</f>
        <v>#REF!</v>
      </c>
      <c r="D83" s="2" t="e">
        <f>#REF!</f>
        <v>#REF!</v>
      </c>
      <c r="E83" s="8" t="e">
        <f>#REF!/100</f>
        <v>#REF!</v>
      </c>
      <c r="F83" s="7" t="e">
        <f>#REF!</f>
        <v>#REF!</v>
      </c>
    </row>
    <row r="84" spans="1:6" x14ac:dyDescent="0.25">
      <c r="A84" t="e">
        <f>#REF!</f>
        <v>#REF!</v>
      </c>
      <c r="B84" s="2" t="e">
        <f>VLOOKUP(A84,#REF!,2,0)</f>
        <v>#REF!</v>
      </c>
      <c r="C84" s="5" t="e">
        <f>VLOOKUP(A84,#REF!,3,0)</f>
        <v>#REF!</v>
      </c>
      <c r="D84" s="2" t="e">
        <f>#REF!</f>
        <v>#REF!</v>
      </c>
      <c r="E84" s="8" t="e">
        <f>#REF!/100</f>
        <v>#REF!</v>
      </c>
      <c r="F84" s="7" t="e">
        <f>#REF!</f>
        <v>#REF!</v>
      </c>
    </row>
    <row r="85" spans="1:6" x14ac:dyDescent="0.25">
      <c r="A85" t="e">
        <f>#REF!</f>
        <v>#REF!</v>
      </c>
      <c r="B85" s="2" t="e">
        <f>VLOOKUP(A85,#REF!,2,0)</f>
        <v>#REF!</v>
      </c>
      <c r="C85" s="5" t="e">
        <f>VLOOKUP(A85,#REF!,3,0)</f>
        <v>#REF!</v>
      </c>
      <c r="D85" s="2" t="e">
        <f>#REF!</f>
        <v>#REF!</v>
      </c>
      <c r="E85" s="8" t="e">
        <f>#REF!/100</f>
        <v>#REF!</v>
      </c>
      <c r="F85" s="7" t="e">
        <f>#REF!</f>
        <v>#REF!</v>
      </c>
    </row>
    <row r="86" spans="1:6" x14ac:dyDescent="0.25">
      <c r="A86" t="e">
        <f>#REF!</f>
        <v>#REF!</v>
      </c>
      <c r="B86" s="2" t="e">
        <f>VLOOKUP(A86,#REF!,2,0)</f>
        <v>#REF!</v>
      </c>
      <c r="C86" s="5" t="e">
        <f>VLOOKUP(A86,#REF!,3,0)</f>
        <v>#REF!</v>
      </c>
      <c r="D86" s="2" t="e">
        <f>#REF!</f>
        <v>#REF!</v>
      </c>
      <c r="E86" s="8" t="e">
        <f>#REF!/100</f>
        <v>#REF!</v>
      </c>
      <c r="F86" s="7" t="e">
        <f>#REF!</f>
        <v>#REF!</v>
      </c>
    </row>
    <row r="87" spans="1:6" x14ac:dyDescent="0.25">
      <c r="A87" t="e">
        <f>#REF!</f>
        <v>#REF!</v>
      </c>
      <c r="B87" s="2" t="e">
        <f>VLOOKUP(A87,#REF!,2,0)</f>
        <v>#REF!</v>
      </c>
      <c r="C87" s="5" t="e">
        <f>VLOOKUP(A87,#REF!,3,0)</f>
        <v>#REF!</v>
      </c>
      <c r="D87" s="2" t="e">
        <f>#REF!</f>
        <v>#REF!</v>
      </c>
      <c r="E87" s="8" t="e">
        <f>#REF!/100</f>
        <v>#REF!</v>
      </c>
      <c r="F87" s="7" t="e">
        <f>#REF!</f>
        <v>#REF!</v>
      </c>
    </row>
    <row r="88" spans="1:6" x14ac:dyDescent="0.25">
      <c r="A88" t="e">
        <f>#REF!</f>
        <v>#REF!</v>
      </c>
      <c r="B88" s="2" t="e">
        <f>VLOOKUP(A88,#REF!,2,0)</f>
        <v>#REF!</v>
      </c>
      <c r="C88" s="5" t="e">
        <f>VLOOKUP(A88,#REF!,3,0)</f>
        <v>#REF!</v>
      </c>
      <c r="D88" s="2" t="e">
        <f>#REF!</f>
        <v>#REF!</v>
      </c>
      <c r="E88" s="8" t="e">
        <f>#REF!/100</f>
        <v>#REF!</v>
      </c>
      <c r="F88" s="7" t="e">
        <f>#REF!</f>
        <v>#REF!</v>
      </c>
    </row>
    <row r="89" spans="1:6" x14ac:dyDescent="0.25">
      <c r="A89" t="e">
        <f>#REF!</f>
        <v>#REF!</v>
      </c>
      <c r="B89" s="2" t="e">
        <f>VLOOKUP(A89,#REF!,2,0)</f>
        <v>#REF!</v>
      </c>
      <c r="C89" s="5" t="e">
        <f>VLOOKUP(A89,#REF!,3,0)</f>
        <v>#REF!</v>
      </c>
      <c r="D89" s="2" t="e">
        <f>#REF!</f>
        <v>#REF!</v>
      </c>
      <c r="E89" s="8" t="e">
        <f>#REF!/100</f>
        <v>#REF!</v>
      </c>
      <c r="F89" s="7" t="e">
        <f>#REF!</f>
        <v>#REF!</v>
      </c>
    </row>
    <row r="90" spans="1:6" x14ac:dyDescent="0.25">
      <c r="A90" t="e">
        <f>#REF!</f>
        <v>#REF!</v>
      </c>
      <c r="B90" s="2" t="e">
        <f>VLOOKUP(A90,#REF!,2,0)</f>
        <v>#REF!</v>
      </c>
      <c r="C90" s="5" t="e">
        <f>VLOOKUP(A90,#REF!,3,0)</f>
        <v>#REF!</v>
      </c>
      <c r="D90" s="2" t="e">
        <f>#REF!</f>
        <v>#REF!</v>
      </c>
      <c r="E90" s="8" t="e">
        <f>#REF!/100</f>
        <v>#REF!</v>
      </c>
      <c r="F90" s="7" t="e">
        <f>#REF!</f>
        <v>#REF!</v>
      </c>
    </row>
    <row r="91" spans="1:6" x14ac:dyDescent="0.25">
      <c r="A91" t="e">
        <f>#REF!</f>
        <v>#REF!</v>
      </c>
      <c r="B91" s="2" t="e">
        <f>VLOOKUP(A91,#REF!,2,0)</f>
        <v>#REF!</v>
      </c>
      <c r="C91" s="5" t="e">
        <f>VLOOKUP(A91,#REF!,3,0)</f>
        <v>#REF!</v>
      </c>
      <c r="D91" s="2" t="e">
        <f>#REF!</f>
        <v>#REF!</v>
      </c>
      <c r="E91" s="8" t="e">
        <f>#REF!/100</f>
        <v>#REF!</v>
      </c>
      <c r="F91" s="7" t="e">
        <f>#REF!</f>
        <v>#REF!</v>
      </c>
    </row>
    <row r="92" spans="1:6" x14ac:dyDescent="0.25">
      <c r="A92" t="e">
        <f>#REF!</f>
        <v>#REF!</v>
      </c>
      <c r="B92" s="2" t="e">
        <f>VLOOKUP(A92,#REF!,2,0)</f>
        <v>#REF!</v>
      </c>
      <c r="C92" s="5" t="e">
        <f>VLOOKUP(A92,#REF!,3,0)</f>
        <v>#REF!</v>
      </c>
      <c r="D92" s="2" t="e">
        <f>#REF!</f>
        <v>#REF!</v>
      </c>
      <c r="E92" s="8" t="e">
        <f>#REF!/100</f>
        <v>#REF!</v>
      </c>
      <c r="F92" s="7" t="e">
        <f>#REF!</f>
        <v>#REF!</v>
      </c>
    </row>
    <row r="93" spans="1:6" x14ac:dyDescent="0.25">
      <c r="A93" t="e">
        <f>#REF!</f>
        <v>#REF!</v>
      </c>
      <c r="B93" s="2" t="e">
        <f>VLOOKUP(A93,#REF!,2,0)</f>
        <v>#REF!</v>
      </c>
      <c r="C93" s="5" t="e">
        <f>VLOOKUP(A93,#REF!,3,0)</f>
        <v>#REF!</v>
      </c>
      <c r="D93" s="2" t="e">
        <f>#REF!</f>
        <v>#REF!</v>
      </c>
      <c r="E93" s="8" t="e">
        <f>#REF!/100</f>
        <v>#REF!</v>
      </c>
      <c r="F93" s="7" t="e">
        <f>#REF!</f>
        <v>#REF!</v>
      </c>
    </row>
    <row r="94" spans="1:6" x14ac:dyDescent="0.25">
      <c r="A94" t="e">
        <f>#REF!</f>
        <v>#REF!</v>
      </c>
      <c r="B94" s="2" t="e">
        <f>VLOOKUP(A94,#REF!,2,0)</f>
        <v>#REF!</v>
      </c>
      <c r="C94" s="5" t="e">
        <f>VLOOKUP(A94,#REF!,3,0)</f>
        <v>#REF!</v>
      </c>
      <c r="D94" s="2" t="e">
        <f>#REF!</f>
        <v>#REF!</v>
      </c>
      <c r="E94" s="8" t="e">
        <f>#REF!/100</f>
        <v>#REF!</v>
      </c>
      <c r="F94" s="7" t="e">
        <f>#REF!</f>
        <v>#REF!</v>
      </c>
    </row>
    <row r="95" spans="1:6" x14ac:dyDescent="0.25">
      <c r="A95" t="e">
        <f>#REF!</f>
        <v>#REF!</v>
      </c>
      <c r="B95" s="2" t="e">
        <f>VLOOKUP(A95,#REF!,2,0)</f>
        <v>#REF!</v>
      </c>
      <c r="C95" s="5" t="e">
        <f>VLOOKUP(A95,#REF!,3,0)</f>
        <v>#REF!</v>
      </c>
      <c r="D95" s="2" t="e">
        <f>#REF!</f>
        <v>#REF!</v>
      </c>
      <c r="E95" s="8" t="e">
        <f>#REF!/100</f>
        <v>#REF!</v>
      </c>
      <c r="F95" s="7" t="e">
        <f>#REF!</f>
        <v>#REF!</v>
      </c>
    </row>
    <row r="96" spans="1:6" x14ac:dyDescent="0.25">
      <c r="A96" t="e">
        <f>#REF!</f>
        <v>#REF!</v>
      </c>
      <c r="B96" s="2" t="e">
        <f>VLOOKUP(A96,#REF!,2,0)</f>
        <v>#REF!</v>
      </c>
      <c r="C96" s="5" t="e">
        <f>VLOOKUP(A96,#REF!,3,0)</f>
        <v>#REF!</v>
      </c>
      <c r="D96" s="2" t="e">
        <f>#REF!</f>
        <v>#REF!</v>
      </c>
      <c r="E96" s="8" t="e">
        <f>#REF!/100</f>
        <v>#REF!</v>
      </c>
      <c r="F96" s="7" t="e">
        <f>#REF!</f>
        <v>#REF!</v>
      </c>
    </row>
    <row r="97" spans="1:6" x14ac:dyDescent="0.25">
      <c r="A97" t="e">
        <f>#REF!</f>
        <v>#REF!</v>
      </c>
      <c r="B97" s="2" t="e">
        <f>VLOOKUP(A97,#REF!,2,0)</f>
        <v>#REF!</v>
      </c>
      <c r="C97" s="5" t="e">
        <f>VLOOKUP(A97,#REF!,3,0)</f>
        <v>#REF!</v>
      </c>
      <c r="D97" s="2" t="e">
        <f>#REF!</f>
        <v>#REF!</v>
      </c>
      <c r="E97" s="8" t="e">
        <f>#REF!/100</f>
        <v>#REF!</v>
      </c>
      <c r="F97" s="7" t="e">
        <f>#REF!</f>
        <v>#REF!</v>
      </c>
    </row>
    <row r="98" spans="1:6" x14ac:dyDescent="0.25">
      <c r="A98" t="e">
        <f>#REF!</f>
        <v>#REF!</v>
      </c>
      <c r="B98" s="2" t="e">
        <f>VLOOKUP(A98,#REF!,2,0)</f>
        <v>#REF!</v>
      </c>
      <c r="C98" s="5" t="e">
        <f>VLOOKUP(A98,#REF!,3,0)</f>
        <v>#REF!</v>
      </c>
      <c r="D98" s="2" t="e">
        <f>#REF!</f>
        <v>#REF!</v>
      </c>
      <c r="E98" s="8" t="e">
        <f>#REF!/100</f>
        <v>#REF!</v>
      </c>
      <c r="F98" s="7" t="e">
        <f>#REF!</f>
        <v>#REF!</v>
      </c>
    </row>
    <row r="99" spans="1:6" x14ac:dyDescent="0.25">
      <c r="A99" t="e">
        <f>#REF!</f>
        <v>#REF!</v>
      </c>
      <c r="B99" s="2" t="e">
        <f>VLOOKUP(A99,#REF!,2,0)</f>
        <v>#REF!</v>
      </c>
      <c r="C99" s="5" t="e">
        <f>VLOOKUP(A99,#REF!,3,0)</f>
        <v>#REF!</v>
      </c>
      <c r="D99" s="2" t="e">
        <f>#REF!</f>
        <v>#REF!</v>
      </c>
      <c r="E99" s="8" t="e">
        <f>#REF!/100</f>
        <v>#REF!</v>
      </c>
      <c r="F99" s="7" t="e">
        <f>#REF!</f>
        <v>#REF!</v>
      </c>
    </row>
    <row r="100" spans="1:6" x14ac:dyDescent="0.25">
      <c r="A100" t="e">
        <f>#REF!</f>
        <v>#REF!</v>
      </c>
      <c r="B100" s="2" t="e">
        <f>VLOOKUP(A100,#REF!,2,0)</f>
        <v>#REF!</v>
      </c>
      <c r="C100" s="5" t="e">
        <f>VLOOKUP(A100,#REF!,3,0)</f>
        <v>#REF!</v>
      </c>
      <c r="D100" s="2" t="e">
        <f>#REF!</f>
        <v>#REF!</v>
      </c>
      <c r="E100" s="8" t="e">
        <f>#REF!/100</f>
        <v>#REF!</v>
      </c>
      <c r="F100" s="7" t="e">
        <f>#REF!</f>
        <v>#REF!</v>
      </c>
    </row>
    <row r="101" spans="1:6" x14ac:dyDescent="0.25">
      <c r="A101" t="e">
        <f>#REF!</f>
        <v>#REF!</v>
      </c>
      <c r="B101" s="2" t="e">
        <f>VLOOKUP(A101,#REF!,2,0)</f>
        <v>#REF!</v>
      </c>
      <c r="C101" s="5" t="e">
        <f>VLOOKUP(A101,#REF!,3,0)</f>
        <v>#REF!</v>
      </c>
      <c r="D101" s="2" t="e">
        <f>#REF!</f>
        <v>#REF!</v>
      </c>
      <c r="E101" s="8" t="e">
        <f>#REF!/100</f>
        <v>#REF!</v>
      </c>
      <c r="F101" s="7" t="e">
        <f>#REF!</f>
        <v>#REF!</v>
      </c>
    </row>
    <row r="102" spans="1:6" x14ac:dyDescent="0.25">
      <c r="A102" t="e">
        <f>#REF!</f>
        <v>#REF!</v>
      </c>
      <c r="B102" s="2" t="e">
        <f>VLOOKUP(A102,#REF!,2,0)</f>
        <v>#REF!</v>
      </c>
      <c r="C102" s="5" t="e">
        <f>VLOOKUP(A102,#REF!,3,0)</f>
        <v>#REF!</v>
      </c>
      <c r="D102" s="2" t="e">
        <f>#REF!</f>
        <v>#REF!</v>
      </c>
      <c r="E102" s="8" t="e">
        <f>#REF!/100</f>
        <v>#REF!</v>
      </c>
      <c r="F102" s="7" t="e">
        <f>#REF!</f>
        <v>#REF!</v>
      </c>
    </row>
    <row r="103" spans="1:6" x14ac:dyDescent="0.25">
      <c r="A103" t="e">
        <f>#REF!</f>
        <v>#REF!</v>
      </c>
      <c r="B103" s="2" t="e">
        <f>VLOOKUP(A103,#REF!,2,0)</f>
        <v>#REF!</v>
      </c>
      <c r="C103" s="5" t="e">
        <f>VLOOKUP(A103,#REF!,3,0)</f>
        <v>#REF!</v>
      </c>
      <c r="D103" s="2" t="e">
        <f>#REF!</f>
        <v>#REF!</v>
      </c>
      <c r="E103" s="8" t="e">
        <f>#REF!/100</f>
        <v>#REF!</v>
      </c>
      <c r="F103" s="7" t="e">
        <f>#REF!</f>
        <v>#REF!</v>
      </c>
    </row>
    <row r="104" spans="1:6" x14ac:dyDescent="0.25">
      <c r="A104" t="e">
        <f>#REF!</f>
        <v>#REF!</v>
      </c>
      <c r="B104" s="2" t="e">
        <f>VLOOKUP(A104,#REF!,2,0)</f>
        <v>#REF!</v>
      </c>
      <c r="C104" s="5" t="e">
        <f>VLOOKUP(A104,#REF!,3,0)</f>
        <v>#REF!</v>
      </c>
      <c r="D104" s="2" t="e">
        <f>#REF!</f>
        <v>#REF!</v>
      </c>
      <c r="E104" s="8" t="e">
        <f>#REF!/100</f>
        <v>#REF!</v>
      </c>
      <c r="F104" s="7" t="e">
        <f>#REF!</f>
        <v>#REF!</v>
      </c>
    </row>
    <row r="105" spans="1:6" x14ac:dyDescent="0.25">
      <c r="A105" t="e">
        <f>#REF!</f>
        <v>#REF!</v>
      </c>
      <c r="B105" s="2" t="e">
        <f>VLOOKUP(A105,#REF!,2,0)</f>
        <v>#REF!</v>
      </c>
      <c r="C105" s="5" t="e">
        <f>VLOOKUP(A105,#REF!,3,0)</f>
        <v>#REF!</v>
      </c>
      <c r="D105" s="2" t="e">
        <f>#REF!</f>
        <v>#REF!</v>
      </c>
      <c r="E105" s="8" t="e">
        <f>#REF!/100</f>
        <v>#REF!</v>
      </c>
      <c r="F105" s="7" t="e">
        <f>#REF!</f>
        <v>#REF!</v>
      </c>
    </row>
    <row r="106" spans="1:6" x14ac:dyDescent="0.25">
      <c r="A106" t="e">
        <f>#REF!</f>
        <v>#REF!</v>
      </c>
      <c r="B106" s="2" t="e">
        <f>VLOOKUP(A106,#REF!,2,0)</f>
        <v>#REF!</v>
      </c>
      <c r="C106" s="5" t="e">
        <f>VLOOKUP(A106,#REF!,3,0)</f>
        <v>#REF!</v>
      </c>
      <c r="D106" s="2" t="e">
        <f>#REF!</f>
        <v>#REF!</v>
      </c>
      <c r="E106" s="8" t="e">
        <f>#REF!/100</f>
        <v>#REF!</v>
      </c>
      <c r="F106" s="7" t="e">
        <f>#REF!</f>
        <v>#REF!</v>
      </c>
    </row>
    <row r="107" spans="1:6" x14ac:dyDescent="0.25">
      <c r="A107" t="e">
        <f>#REF!</f>
        <v>#REF!</v>
      </c>
      <c r="B107" s="2" t="e">
        <f>VLOOKUP(A107,#REF!,2,0)</f>
        <v>#REF!</v>
      </c>
      <c r="C107" s="5" t="e">
        <f>VLOOKUP(A107,#REF!,3,0)</f>
        <v>#REF!</v>
      </c>
      <c r="D107" s="2" t="e">
        <f>#REF!</f>
        <v>#REF!</v>
      </c>
      <c r="E107" s="8" t="e">
        <f>#REF!/100</f>
        <v>#REF!</v>
      </c>
      <c r="F107" s="7" t="e">
        <f>#REF!</f>
        <v>#REF!</v>
      </c>
    </row>
    <row r="108" spans="1:6" x14ac:dyDescent="0.25">
      <c r="A108" t="e">
        <f>#REF!</f>
        <v>#REF!</v>
      </c>
      <c r="B108" s="2" t="e">
        <f>VLOOKUP(A108,#REF!,2,0)</f>
        <v>#REF!</v>
      </c>
      <c r="C108" s="5" t="e">
        <f>VLOOKUP(A108,#REF!,3,0)</f>
        <v>#REF!</v>
      </c>
      <c r="D108" s="2" t="e">
        <f>#REF!</f>
        <v>#REF!</v>
      </c>
      <c r="E108" s="8" t="e">
        <f>#REF!/100</f>
        <v>#REF!</v>
      </c>
      <c r="F108" s="7" t="e">
        <f>#REF!</f>
        <v>#REF!</v>
      </c>
    </row>
    <row r="109" spans="1:6" x14ac:dyDescent="0.25">
      <c r="A109" t="e">
        <f>#REF!</f>
        <v>#REF!</v>
      </c>
      <c r="B109" s="2" t="e">
        <f>VLOOKUP(A109,#REF!,2,0)</f>
        <v>#REF!</v>
      </c>
      <c r="C109" s="5" t="e">
        <f>VLOOKUP(A109,#REF!,3,0)</f>
        <v>#REF!</v>
      </c>
      <c r="D109" s="2" t="e">
        <f>#REF!</f>
        <v>#REF!</v>
      </c>
      <c r="E109" s="8" t="e">
        <f>#REF!/100</f>
        <v>#REF!</v>
      </c>
      <c r="F109" s="7" t="e">
        <f>#REF!</f>
        <v>#REF!</v>
      </c>
    </row>
    <row r="110" spans="1:6" x14ac:dyDescent="0.25">
      <c r="A110" t="e">
        <f>#REF!</f>
        <v>#REF!</v>
      </c>
      <c r="B110" s="2" t="e">
        <f>VLOOKUP(A110,#REF!,2,0)</f>
        <v>#REF!</v>
      </c>
      <c r="C110" s="5" t="e">
        <f>VLOOKUP(A110,#REF!,3,0)</f>
        <v>#REF!</v>
      </c>
      <c r="D110" s="2" t="e">
        <f>#REF!</f>
        <v>#REF!</v>
      </c>
      <c r="E110" s="8" t="e">
        <f>#REF!/100</f>
        <v>#REF!</v>
      </c>
      <c r="F110" s="7" t="e">
        <f>#REF!</f>
        <v>#REF!</v>
      </c>
    </row>
    <row r="111" spans="1:6" x14ac:dyDescent="0.25">
      <c r="A111" t="e">
        <f>#REF!</f>
        <v>#REF!</v>
      </c>
      <c r="B111" s="2" t="e">
        <f>VLOOKUP(A111,#REF!,2,0)</f>
        <v>#REF!</v>
      </c>
      <c r="C111" s="5" t="e">
        <f>VLOOKUP(A111,#REF!,3,0)</f>
        <v>#REF!</v>
      </c>
      <c r="D111" s="2" t="e">
        <f>#REF!</f>
        <v>#REF!</v>
      </c>
      <c r="E111" s="8" t="e">
        <f>#REF!/100</f>
        <v>#REF!</v>
      </c>
      <c r="F111" s="7" t="e">
        <f>#REF!</f>
        <v>#REF!</v>
      </c>
    </row>
    <row r="112" spans="1:6" x14ac:dyDescent="0.25">
      <c r="A112" t="e">
        <f>#REF!</f>
        <v>#REF!</v>
      </c>
      <c r="B112" s="2" t="e">
        <f>VLOOKUP(A112,#REF!,2,0)</f>
        <v>#REF!</v>
      </c>
      <c r="C112" s="5" t="e">
        <f>VLOOKUP(A112,#REF!,3,0)</f>
        <v>#REF!</v>
      </c>
      <c r="D112" s="2" t="e">
        <f>#REF!</f>
        <v>#REF!</v>
      </c>
      <c r="E112" s="8" t="e">
        <f>#REF!/100</f>
        <v>#REF!</v>
      </c>
      <c r="F112" s="7" t="e">
        <f>#REF!</f>
        <v>#REF!</v>
      </c>
    </row>
    <row r="113" spans="1:6" x14ac:dyDescent="0.25">
      <c r="A113" t="e">
        <f>#REF!</f>
        <v>#REF!</v>
      </c>
      <c r="B113" s="2" t="e">
        <f>VLOOKUP(A113,#REF!,2,0)</f>
        <v>#REF!</v>
      </c>
      <c r="C113" s="5" t="e">
        <f>VLOOKUP(A113,#REF!,3,0)</f>
        <v>#REF!</v>
      </c>
      <c r="D113" s="2" t="e">
        <f>#REF!</f>
        <v>#REF!</v>
      </c>
      <c r="E113" s="8" t="e">
        <f>#REF!/100</f>
        <v>#REF!</v>
      </c>
      <c r="F113" s="7" t="e">
        <f>#REF!</f>
        <v>#REF!</v>
      </c>
    </row>
    <row r="114" spans="1:6" x14ac:dyDescent="0.25">
      <c r="A114" t="e">
        <f>#REF!</f>
        <v>#REF!</v>
      </c>
      <c r="B114" s="2" t="e">
        <f>VLOOKUP(A114,#REF!,2,0)</f>
        <v>#REF!</v>
      </c>
      <c r="C114" s="5" t="e">
        <f>VLOOKUP(A114,#REF!,3,0)</f>
        <v>#REF!</v>
      </c>
      <c r="D114" s="2" t="e">
        <f>#REF!</f>
        <v>#REF!</v>
      </c>
      <c r="E114" s="8" t="e">
        <f>#REF!/100</f>
        <v>#REF!</v>
      </c>
      <c r="F114" s="7" t="e">
        <f>#REF!</f>
        <v>#REF!</v>
      </c>
    </row>
    <row r="115" spans="1:6" x14ac:dyDescent="0.25">
      <c r="A115" t="e">
        <f>#REF!</f>
        <v>#REF!</v>
      </c>
      <c r="B115" s="2" t="e">
        <f>VLOOKUP(A115,#REF!,2,0)</f>
        <v>#REF!</v>
      </c>
      <c r="C115" s="5" t="e">
        <f>VLOOKUP(A115,#REF!,3,0)</f>
        <v>#REF!</v>
      </c>
      <c r="D115" s="2" t="e">
        <f>#REF!</f>
        <v>#REF!</v>
      </c>
      <c r="E115" s="8" t="e">
        <f>#REF!/100</f>
        <v>#REF!</v>
      </c>
      <c r="F115" s="7" t="e">
        <f>#REF!</f>
        <v>#REF!</v>
      </c>
    </row>
    <row r="116" spans="1:6" x14ac:dyDescent="0.25">
      <c r="A116" t="e">
        <f>#REF!</f>
        <v>#REF!</v>
      </c>
      <c r="B116" s="2" t="e">
        <f>VLOOKUP(A116,#REF!,2,0)</f>
        <v>#REF!</v>
      </c>
      <c r="C116" s="5" t="e">
        <f>VLOOKUP(A116,#REF!,3,0)</f>
        <v>#REF!</v>
      </c>
      <c r="D116" s="2" t="e">
        <f>#REF!</f>
        <v>#REF!</v>
      </c>
      <c r="E116" s="8" t="e">
        <f>#REF!/100</f>
        <v>#REF!</v>
      </c>
      <c r="F116" s="7" t="e">
        <f>#REF!</f>
        <v>#REF!</v>
      </c>
    </row>
    <row r="117" spans="1:6" x14ac:dyDescent="0.25">
      <c r="A117" t="e">
        <f>#REF!</f>
        <v>#REF!</v>
      </c>
      <c r="B117" s="2" t="e">
        <f>VLOOKUP(A117,#REF!,2,0)</f>
        <v>#REF!</v>
      </c>
      <c r="C117" s="5" t="e">
        <f>VLOOKUP(A117,#REF!,3,0)</f>
        <v>#REF!</v>
      </c>
      <c r="D117" s="2" t="e">
        <f>#REF!</f>
        <v>#REF!</v>
      </c>
      <c r="E117" s="8" t="e">
        <f>#REF!/100</f>
        <v>#REF!</v>
      </c>
      <c r="F117" s="7" t="e">
        <f>#REF!</f>
        <v>#REF!</v>
      </c>
    </row>
    <row r="118" spans="1:6" x14ac:dyDescent="0.25">
      <c r="A118" t="e">
        <f>#REF!</f>
        <v>#REF!</v>
      </c>
      <c r="B118" s="2" t="e">
        <f>VLOOKUP(A118,#REF!,2,0)</f>
        <v>#REF!</v>
      </c>
      <c r="C118" s="5" t="e">
        <f>VLOOKUP(A118,#REF!,3,0)</f>
        <v>#REF!</v>
      </c>
      <c r="D118" s="2" t="e">
        <f>#REF!</f>
        <v>#REF!</v>
      </c>
      <c r="E118" s="8" t="e">
        <f>#REF!/100</f>
        <v>#REF!</v>
      </c>
      <c r="F118" s="7" t="e">
        <f>#REF!</f>
        <v>#REF!</v>
      </c>
    </row>
    <row r="119" spans="1:6" hidden="1" x14ac:dyDescent="0.25">
      <c r="A119" t="e">
        <f>#REF!</f>
        <v>#REF!</v>
      </c>
      <c r="B119" s="2" t="e">
        <f>VLOOKUP(A119,#REF!,2,0)</f>
        <v>#REF!</v>
      </c>
      <c r="C119" s="5" t="e">
        <f>VLOOKUP(A119,#REF!,3,0)</f>
        <v>#REF!</v>
      </c>
      <c r="D119" s="2" t="e">
        <f>#REF!</f>
        <v>#REF!</v>
      </c>
      <c r="E119" s="8" t="e">
        <f>#REF!/100</f>
        <v>#REF!</v>
      </c>
      <c r="F119" s="7" t="e">
        <f>#REF!</f>
        <v>#REF!</v>
      </c>
    </row>
    <row r="120" spans="1:6" x14ac:dyDescent="0.25">
      <c r="A120" t="e">
        <f>#REF!</f>
        <v>#REF!</v>
      </c>
      <c r="B120" s="2" t="e">
        <f>VLOOKUP(A120,#REF!,2,0)</f>
        <v>#REF!</v>
      </c>
      <c r="C120" s="5" t="e">
        <f>VLOOKUP(A120,#REF!,3,0)</f>
        <v>#REF!</v>
      </c>
      <c r="D120" s="2" t="e">
        <f>#REF!</f>
        <v>#REF!</v>
      </c>
      <c r="E120" s="8" t="e">
        <f>#REF!/100</f>
        <v>#REF!</v>
      </c>
      <c r="F120" s="7" t="e">
        <f>#REF!</f>
        <v>#REF!</v>
      </c>
    </row>
    <row r="121" spans="1:6" x14ac:dyDescent="0.25">
      <c r="A121" t="e">
        <f>#REF!</f>
        <v>#REF!</v>
      </c>
      <c r="B121" s="2" t="e">
        <f>VLOOKUP(A121,#REF!,2,0)</f>
        <v>#REF!</v>
      </c>
      <c r="C121" s="5" t="e">
        <f>VLOOKUP(A121,#REF!,3,0)</f>
        <v>#REF!</v>
      </c>
      <c r="D121" s="2" t="e">
        <f>#REF!</f>
        <v>#REF!</v>
      </c>
      <c r="E121" s="8" t="e">
        <f>#REF!/100</f>
        <v>#REF!</v>
      </c>
      <c r="F121" s="7" t="e">
        <f>#REF!</f>
        <v>#REF!</v>
      </c>
    </row>
    <row r="122" spans="1:6" x14ac:dyDescent="0.25">
      <c r="A122" t="e">
        <f>#REF!</f>
        <v>#REF!</v>
      </c>
      <c r="B122" s="2" t="e">
        <f>VLOOKUP(A122,#REF!,2,0)</f>
        <v>#REF!</v>
      </c>
      <c r="C122" s="5" t="e">
        <f>VLOOKUP(A122,#REF!,3,0)</f>
        <v>#REF!</v>
      </c>
      <c r="D122" s="2" t="e">
        <f>#REF!</f>
        <v>#REF!</v>
      </c>
      <c r="E122" s="8" t="e">
        <f>#REF!/100</f>
        <v>#REF!</v>
      </c>
      <c r="F122" s="7" t="e">
        <f>#REF!</f>
        <v>#REF!</v>
      </c>
    </row>
    <row r="123" spans="1:6" x14ac:dyDescent="0.25">
      <c r="A123" t="e">
        <f>#REF!</f>
        <v>#REF!</v>
      </c>
      <c r="B123" s="2" t="e">
        <f>VLOOKUP(A123,#REF!,2,0)</f>
        <v>#REF!</v>
      </c>
      <c r="C123" s="5" t="e">
        <f>VLOOKUP(A123,#REF!,3,0)</f>
        <v>#REF!</v>
      </c>
      <c r="D123" s="2" t="e">
        <f>#REF!</f>
        <v>#REF!</v>
      </c>
      <c r="E123" s="8" t="e">
        <f>#REF!/100</f>
        <v>#REF!</v>
      </c>
      <c r="F123" s="7" t="e">
        <f>#REF!</f>
        <v>#REF!</v>
      </c>
    </row>
    <row r="124" spans="1:6" x14ac:dyDescent="0.25">
      <c r="A124" t="e">
        <f>#REF!</f>
        <v>#REF!</v>
      </c>
      <c r="B124" s="2" t="e">
        <f>VLOOKUP(A124,#REF!,2,0)</f>
        <v>#REF!</v>
      </c>
      <c r="C124" s="5" t="e">
        <f>VLOOKUP(A124,#REF!,3,0)</f>
        <v>#REF!</v>
      </c>
      <c r="D124" s="2" t="e">
        <f>#REF!</f>
        <v>#REF!</v>
      </c>
      <c r="E124" s="8" t="e">
        <f>#REF!/100</f>
        <v>#REF!</v>
      </c>
      <c r="F124" s="7" t="e">
        <f>#REF!</f>
        <v>#REF!</v>
      </c>
    </row>
    <row r="125" spans="1:6" x14ac:dyDescent="0.25">
      <c r="A125" t="e">
        <f>#REF!</f>
        <v>#REF!</v>
      </c>
      <c r="B125" s="2" t="e">
        <f>VLOOKUP(A125,#REF!,2,0)</f>
        <v>#REF!</v>
      </c>
      <c r="C125" s="5" t="e">
        <f>VLOOKUP(A125,#REF!,3,0)</f>
        <v>#REF!</v>
      </c>
      <c r="D125" s="2" t="e">
        <f>#REF!</f>
        <v>#REF!</v>
      </c>
      <c r="E125" s="8" t="e">
        <f>#REF!/100</f>
        <v>#REF!</v>
      </c>
      <c r="F125" s="7" t="e">
        <f>#REF!</f>
        <v>#REF!</v>
      </c>
    </row>
    <row r="126" spans="1:6" x14ac:dyDescent="0.25">
      <c r="A126" t="e">
        <f>#REF!</f>
        <v>#REF!</v>
      </c>
      <c r="B126" s="2" t="e">
        <f>VLOOKUP(A126,#REF!,2,0)</f>
        <v>#REF!</v>
      </c>
      <c r="C126" s="5" t="e">
        <f>VLOOKUP(A126,#REF!,3,0)</f>
        <v>#REF!</v>
      </c>
      <c r="D126" s="2" t="e">
        <f>#REF!</f>
        <v>#REF!</v>
      </c>
      <c r="E126" s="8" t="e">
        <f>#REF!/100</f>
        <v>#REF!</v>
      </c>
      <c r="F126" s="7" t="e">
        <f>#REF!</f>
        <v>#REF!</v>
      </c>
    </row>
    <row r="127" spans="1:6" x14ac:dyDescent="0.25">
      <c r="A127" t="e">
        <f>#REF!</f>
        <v>#REF!</v>
      </c>
      <c r="B127" s="2" t="e">
        <f>VLOOKUP(A127,#REF!,2,0)</f>
        <v>#REF!</v>
      </c>
      <c r="C127" s="5" t="e">
        <f>VLOOKUP(A127,#REF!,3,0)</f>
        <v>#REF!</v>
      </c>
      <c r="D127" s="2" t="e">
        <f>#REF!</f>
        <v>#REF!</v>
      </c>
      <c r="E127" s="8" t="e">
        <f>#REF!/100</f>
        <v>#REF!</v>
      </c>
      <c r="F127" s="7" t="e">
        <f>#REF!</f>
        <v>#REF!</v>
      </c>
    </row>
    <row r="128" spans="1:6" x14ac:dyDescent="0.25">
      <c r="A128" t="e">
        <f>#REF!</f>
        <v>#REF!</v>
      </c>
      <c r="B128" s="2" t="e">
        <f>VLOOKUP(A128,#REF!,2,0)</f>
        <v>#REF!</v>
      </c>
      <c r="C128" s="5" t="e">
        <f>VLOOKUP(A128,#REF!,3,0)</f>
        <v>#REF!</v>
      </c>
      <c r="D128" s="2" t="e">
        <f>#REF!</f>
        <v>#REF!</v>
      </c>
      <c r="E128" s="8" t="e">
        <f>#REF!/100</f>
        <v>#REF!</v>
      </c>
      <c r="F128" s="7" t="e">
        <f>#REF!</f>
        <v>#REF!</v>
      </c>
    </row>
    <row r="129" spans="1:6" x14ac:dyDescent="0.25">
      <c r="A129" t="e">
        <f>#REF!</f>
        <v>#REF!</v>
      </c>
      <c r="B129" s="2" t="e">
        <f>VLOOKUP(A129,#REF!,2,0)</f>
        <v>#REF!</v>
      </c>
      <c r="C129" s="5" t="e">
        <f>VLOOKUP(A129,#REF!,3,0)</f>
        <v>#REF!</v>
      </c>
      <c r="D129" s="2" t="e">
        <f>#REF!</f>
        <v>#REF!</v>
      </c>
      <c r="E129" s="8" t="e">
        <f>#REF!/100</f>
        <v>#REF!</v>
      </c>
      <c r="F129" s="7" t="e">
        <f>#REF!</f>
        <v>#REF!</v>
      </c>
    </row>
    <row r="130" spans="1:6" x14ac:dyDescent="0.25">
      <c r="A130" t="e">
        <f>#REF!</f>
        <v>#REF!</v>
      </c>
      <c r="B130" s="2" t="e">
        <f>VLOOKUP(A130,#REF!,2,0)</f>
        <v>#REF!</v>
      </c>
      <c r="C130" s="5" t="e">
        <f>VLOOKUP(A130,#REF!,3,0)</f>
        <v>#REF!</v>
      </c>
      <c r="D130" s="2" t="e">
        <f>#REF!</f>
        <v>#REF!</v>
      </c>
      <c r="E130" s="8" t="e">
        <f>#REF!/100</f>
        <v>#REF!</v>
      </c>
      <c r="F130" s="7" t="e">
        <f>#REF!</f>
        <v>#REF!</v>
      </c>
    </row>
    <row r="131" spans="1:6" x14ac:dyDescent="0.25">
      <c r="A131" t="e">
        <f>#REF!</f>
        <v>#REF!</v>
      </c>
      <c r="B131" s="2" t="e">
        <f>VLOOKUP(A131,#REF!,2,0)</f>
        <v>#REF!</v>
      </c>
      <c r="C131" s="5" t="e">
        <f>VLOOKUP(A131,#REF!,3,0)</f>
        <v>#REF!</v>
      </c>
      <c r="D131" s="2" t="e">
        <f>#REF!</f>
        <v>#REF!</v>
      </c>
      <c r="E131" s="8" t="e">
        <f>#REF!/100</f>
        <v>#REF!</v>
      </c>
      <c r="F131" s="7" t="e">
        <f>#REF!</f>
        <v>#REF!</v>
      </c>
    </row>
    <row r="132" spans="1:6" x14ac:dyDescent="0.25">
      <c r="A132" t="e">
        <f>#REF!</f>
        <v>#REF!</v>
      </c>
      <c r="B132" s="2" t="e">
        <f>VLOOKUP(A132,#REF!,2,0)</f>
        <v>#REF!</v>
      </c>
      <c r="C132" s="5" t="e">
        <f>VLOOKUP(A132,#REF!,3,0)</f>
        <v>#REF!</v>
      </c>
      <c r="D132" s="2" t="e">
        <f>#REF!</f>
        <v>#REF!</v>
      </c>
      <c r="E132" s="8" t="e">
        <f>#REF!/100</f>
        <v>#REF!</v>
      </c>
      <c r="F132" s="7" t="e">
        <f>#REF!</f>
        <v>#REF!</v>
      </c>
    </row>
    <row r="133" spans="1:6" x14ac:dyDescent="0.25">
      <c r="A133" t="e">
        <f>#REF!</f>
        <v>#REF!</v>
      </c>
      <c r="B133" s="2" t="e">
        <f>VLOOKUP(A133,#REF!,2,0)</f>
        <v>#REF!</v>
      </c>
      <c r="C133" s="5" t="e">
        <f>VLOOKUP(A133,#REF!,3,0)</f>
        <v>#REF!</v>
      </c>
      <c r="D133" s="2" t="e">
        <f>#REF!</f>
        <v>#REF!</v>
      </c>
      <c r="E133" s="8" t="e">
        <f>#REF!/100</f>
        <v>#REF!</v>
      </c>
      <c r="F133" s="7" t="e">
        <f>#REF!</f>
        <v>#REF!</v>
      </c>
    </row>
    <row r="134" spans="1:6" x14ac:dyDescent="0.25">
      <c r="A134" t="e">
        <f>#REF!</f>
        <v>#REF!</v>
      </c>
      <c r="B134" s="2" t="e">
        <f>VLOOKUP(A134,#REF!,2,0)</f>
        <v>#REF!</v>
      </c>
      <c r="C134" s="5" t="e">
        <f>VLOOKUP(A134,#REF!,3,0)</f>
        <v>#REF!</v>
      </c>
      <c r="D134" s="2" t="e">
        <f>#REF!</f>
        <v>#REF!</v>
      </c>
      <c r="E134" s="8" t="e">
        <f>#REF!/100</f>
        <v>#REF!</v>
      </c>
      <c r="F134" s="7" t="e">
        <f>#REF!</f>
        <v>#REF!</v>
      </c>
    </row>
    <row r="135" spans="1:6" x14ac:dyDescent="0.25">
      <c r="A135" t="e">
        <f>#REF!</f>
        <v>#REF!</v>
      </c>
      <c r="B135" s="2" t="e">
        <f>VLOOKUP(A135,#REF!,2,0)</f>
        <v>#REF!</v>
      </c>
      <c r="C135" s="5" t="e">
        <f>VLOOKUP(A135,#REF!,3,0)</f>
        <v>#REF!</v>
      </c>
      <c r="D135" s="2" t="e">
        <f>#REF!</f>
        <v>#REF!</v>
      </c>
      <c r="E135" s="8" t="e">
        <f>#REF!/100</f>
        <v>#REF!</v>
      </c>
      <c r="F135" s="7" t="e">
        <f>#REF!</f>
        <v>#REF!</v>
      </c>
    </row>
    <row r="136" spans="1:6" x14ac:dyDescent="0.25">
      <c r="A136" t="e">
        <f>#REF!</f>
        <v>#REF!</v>
      </c>
      <c r="B136" s="2" t="e">
        <f>VLOOKUP(A136,#REF!,2,0)</f>
        <v>#REF!</v>
      </c>
      <c r="C136" s="5" t="e">
        <f>VLOOKUP(A136,#REF!,3,0)</f>
        <v>#REF!</v>
      </c>
      <c r="D136" s="2" t="e">
        <f>#REF!</f>
        <v>#REF!</v>
      </c>
      <c r="E136" s="8" t="e">
        <f>#REF!/100</f>
        <v>#REF!</v>
      </c>
      <c r="F136" s="7" t="e">
        <f>#REF!</f>
        <v>#REF!</v>
      </c>
    </row>
    <row r="137" spans="1:6" x14ac:dyDescent="0.25">
      <c r="A137" t="e">
        <f>#REF!</f>
        <v>#REF!</v>
      </c>
      <c r="B137" s="2" t="e">
        <f>VLOOKUP(A137,#REF!,2,0)</f>
        <v>#REF!</v>
      </c>
      <c r="C137" s="5" t="e">
        <f>VLOOKUP(A137,#REF!,3,0)</f>
        <v>#REF!</v>
      </c>
      <c r="D137" s="2" t="e">
        <f>#REF!</f>
        <v>#REF!</v>
      </c>
      <c r="E137" s="8" t="e">
        <f>#REF!/100</f>
        <v>#REF!</v>
      </c>
      <c r="F137" s="7" t="e">
        <f>#REF!</f>
        <v>#REF!</v>
      </c>
    </row>
    <row r="138" spans="1:6" x14ac:dyDescent="0.25">
      <c r="A138" t="e">
        <f>#REF!</f>
        <v>#REF!</v>
      </c>
      <c r="B138" s="2" t="e">
        <f>VLOOKUP(A138,#REF!,2,0)</f>
        <v>#REF!</v>
      </c>
      <c r="C138" s="5" t="e">
        <f>VLOOKUP(A138,#REF!,3,0)</f>
        <v>#REF!</v>
      </c>
      <c r="D138" s="2" t="e">
        <f>#REF!</f>
        <v>#REF!</v>
      </c>
      <c r="E138" s="8" t="e">
        <f>#REF!/100</f>
        <v>#REF!</v>
      </c>
      <c r="F138" s="7" t="e">
        <f>#REF!</f>
        <v>#REF!</v>
      </c>
    </row>
    <row r="139" spans="1:6" x14ac:dyDescent="0.25">
      <c r="A139" t="e">
        <f>#REF!</f>
        <v>#REF!</v>
      </c>
      <c r="B139" s="2" t="e">
        <f>VLOOKUP(A139,#REF!,2,0)</f>
        <v>#REF!</v>
      </c>
      <c r="C139" s="5" t="e">
        <f>VLOOKUP(A139,#REF!,3,0)</f>
        <v>#REF!</v>
      </c>
      <c r="D139" s="2" t="e">
        <f>#REF!</f>
        <v>#REF!</v>
      </c>
      <c r="E139" s="8" t="e">
        <f>#REF!/100</f>
        <v>#REF!</v>
      </c>
      <c r="F139" s="7" t="e">
        <f>#REF!</f>
        <v>#REF!</v>
      </c>
    </row>
    <row r="140" spans="1:6" x14ac:dyDescent="0.25">
      <c r="A140" t="e">
        <f>#REF!</f>
        <v>#REF!</v>
      </c>
      <c r="B140" s="2" t="e">
        <f>VLOOKUP(A140,#REF!,2,0)</f>
        <v>#REF!</v>
      </c>
      <c r="C140" s="5" t="e">
        <f>VLOOKUP(A140,#REF!,3,0)</f>
        <v>#REF!</v>
      </c>
      <c r="D140" s="2" t="e">
        <f>#REF!</f>
        <v>#REF!</v>
      </c>
      <c r="E140" s="8" t="e">
        <f>#REF!/100</f>
        <v>#REF!</v>
      </c>
      <c r="F140" s="7" t="e">
        <f>#REF!</f>
        <v>#REF!</v>
      </c>
    </row>
    <row r="141" spans="1:6" x14ac:dyDescent="0.25">
      <c r="A141" t="e">
        <f>#REF!</f>
        <v>#REF!</v>
      </c>
      <c r="B141" s="2" t="e">
        <f>VLOOKUP(A141,#REF!,2,0)</f>
        <v>#REF!</v>
      </c>
      <c r="C141" s="5" t="e">
        <f>VLOOKUP(A141,#REF!,3,0)</f>
        <v>#REF!</v>
      </c>
      <c r="D141" s="2" t="e">
        <f>#REF!</f>
        <v>#REF!</v>
      </c>
      <c r="E141" s="8" t="e">
        <f>#REF!/100</f>
        <v>#REF!</v>
      </c>
      <c r="F141" s="7" t="e">
        <f>#REF!</f>
        <v>#REF!</v>
      </c>
    </row>
    <row r="142" spans="1:6" x14ac:dyDescent="0.25">
      <c r="A142" t="e">
        <f>#REF!</f>
        <v>#REF!</v>
      </c>
      <c r="B142" s="2" t="e">
        <f>VLOOKUP(A142,#REF!,2,0)</f>
        <v>#REF!</v>
      </c>
      <c r="C142" s="5" t="e">
        <f>VLOOKUP(A142,#REF!,3,0)</f>
        <v>#REF!</v>
      </c>
      <c r="D142" s="2" t="e">
        <f>#REF!</f>
        <v>#REF!</v>
      </c>
      <c r="E142" s="8" t="e">
        <f>#REF!/100</f>
        <v>#REF!</v>
      </c>
      <c r="F142" s="7" t="e">
        <f>#REF!</f>
        <v>#REF!</v>
      </c>
    </row>
    <row r="143" spans="1:6" hidden="1" x14ac:dyDescent="0.25">
      <c r="A143" t="e">
        <f>#REF!</f>
        <v>#REF!</v>
      </c>
      <c r="B143" s="2" t="e">
        <f>VLOOKUP(A143,#REF!,2,0)</f>
        <v>#REF!</v>
      </c>
      <c r="C143" s="5" t="e">
        <f>VLOOKUP(A143,#REF!,3,0)</f>
        <v>#REF!</v>
      </c>
      <c r="D143" s="2" t="e">
        <f>#REF!</f>
        <v>#REF!</v>
      </c>
      <c r="E143" s="8" t="e">
        <f>#REF!/100</f>
        <v>#REF!</v>
      </c>
      <c r="F143" s="7" t="e">
        <f>#REF!</f>
        <v>#REF!</v>
      </c>
    </row>
    <row r="144" spans="1:6" x14ac:dyDescent="0.25">
      <c r="A144" t="e">
        <f>#REF!</f>
        <v>#REF!</v>
      </c>
      <c r="B144" s="2" t="e">
        <f>VLOOKUP(A144,#REF!,2,0)</f>
        <v>#REF!</v>
      </c>
      <c r="C144" s="5" t="e">
        <f>VLOOKUP(A144,#REF!,3,0)</f>
        <v>#REF!</v>
      </c>
      <c r="D144" s="2" t="e">
        <f>#REF!</f>
        <v>#REF!</v>
      </c>
      <c r="E144" s="8" t="e">
        <f>#REF!/100</f>
        <v>#REF!</v>
      </c>
      <c r="F144" s="7" t="e">
        <f>#REF!</f>
        <v>#REF!</v>
      </c>
    </row>
    <row r="145" spans="1:6" x14ac:dyDescent="0.25">
      <c r="A145" t="e">
        <f>#REF!</f>
        <v>#REF!</v>
      </c>
      <c r="B145" s="2" t="e">
        <f>VLOOKUP(A145,#REF!,2,0)</f>
        <v>#REF!</v>
      </c>
      <c r="C145" s="5" t="e">
        <f>VLOOKUP(A145,#REF!,3,0)</f>
        <v>#REF!</v>
      </c>
      <c r="D145" s="2" t="e">
        <f>#REF!</f>
        <v>#REF!</v>
      </c>
      <c r="E145" s="8" t="e">
        <f>#REF!/100</f>
        <v>#REF!</v>
      </c>
      <c r="F145" s="7" t="e">
        <f>#REF!</f>
        <v>#REF!</v>
      </c>
    </row>
    <row r="146" spans="1:6" x14ac:dyDescent="0.25">
      <c r="A146" t="e">
        <f>#REF!</f>
        <v>#REF!</v>
      </c>
      <c r="B146" s="2" t="e">
        <f>VLOOKUP(A146,#REF!,2,0)</f>
        <v>#REF!</v>
      </c>
      <c r="C146" s="5" t="e">
        <f>VLOOKUP(A146,#REF!,3,0)</f>
        <v>#REF!</v>
      </c>
      <c r="D146" s="2" t="e">
        <f>#REF!</f>
        <v>#REF!</v>
      </c>
      <c r="E146" s="8" t="e">
        <f>#REF!/100</f>
        <v>#REF!</v>
      </c>
      <c r="F146" s="7" t="e">
        <f>#REF!</f>
        <v>#REF!</v>
      </c>
    </row>
    <row r="147" spans="1:6" x14ac:dyDescent="0.25">
      <c r="A147" t="e">
        <f>#REF!</f>
        <v>#REF!</v>
      </c>
      <c r="B147" s="2" t="e">
        <f>VLOOKUP(A147,#REF!,2,0)</f>
        <v>#REF!</v>
      </c>
      <c r="C147" s="5" t="e">
        <f>VLOOKUP(A147,#REF!,3,0)</f>
        <v>#REF!</v>
      </c>
      <c r="D147" s="2" t="e">
        <f>#REF!</f>
        <v>#REF!</v>
      </c>
      <c r="E147" s="8" t="e">
        <f>#REF!/100</f>
        <v>#REF!</v>
      </c>
      <c r="F147" s="7" t="e">
        <f>#REF!</f>
        <v>#REF!</v>
      </c>
    </row>
    <row r="148" spans="1:6" x14ac:dyDescent="0.25">
      <c r="A148" t="e">
        <f>#REF!</f>
        <v>#REF!</v>
      </c>
      <c r="B148" s="2" t="e">
        <f>VLOOKUP(A148,#REF!,2,0)</f>
        <v>#REF!</v>
      </c>
      <c r="C148" s="5" t="e">
        <f>VLOOKUP(A148,#REF!,3,0)</f>
        <v>#REF!</v>
      </c>
      <c r="D148" s="2" t="e">
        <f>#REF!</f>
        <v>#REF!</v>
      </c>
      <c r="E148" s="8" t="e">
        <f>#REF!/100</f>
        <v>#REF!</v>
      </c>
      <c r="F148" s="7" t="e">
        <f>#REF!</f>
        <v>#REF!</v>
      </c>
    </row>
    <row r="149" spans="1:6" x14ac:dyDescent="0.25">
      <c r="A149" t="e">
        <f>#REF!</f>
        <v>#REF!</v>
      </c>
      <c r="B149" s="2" t="e">
        <f>VLOOKUP(A149,#REF!,2,0)</f>
        <v>#REF!</v>
      </c>
      <c r="C149" s="5" t="e">
        <f>VLOOKUP(A149,#REF!,3,0)</f>
        <v>#REF!</v>
      </c>
      <c r="D149" s="2" t="e">
        <f>#REF!</f>
        <v>#REF!</v>
      </c>
      <c r="E149" s="8" t="e">
        <f>#REF!/100</f>
        <v>#REF!</v>
      </c>
      <c r="F149" s="7" t="e">
        <f>#REF!</f>
        <v>#REF!</v>
      </c>
    </row>
    <row r="150" spans="1:6" x14ac:dyDescent="0.25">
      <c r="A150" t="e">
        <f>#REF!</f>
        <v>#REF!</v>
      </c>
      <c r="B150" s="2" t="e">
        <f>VLOOKUP(A150,#REF!,2,0)</f>
        <v>#REF!</v>
      </c>
      <c r="C150" s="5" t="e">
        <f>VLOOKUP(A150,#REF!,3,0)</f>
        <v>#REF!</v>
      </c>
      <c r="D150" s="2" t="e">
        <f>#REF!</f>
        <v>#REF!</v>
      </c>
      <c r="E150" s="8" t="e">
        <f>#REF!/100</f>
        <v>#REF!</v>
      </c>
      <c r="F150" s="7" t="e">
        <f>#REF!</f>
        <v>#REF!</v>
      </c>
    </row>
    <row r="151" spans="1:6" x14ac:dyDescent="0.25">
      <c r="A151" t="e">
        <f>#REF!</f>
        <v>#REF!</v>
      </c>
      <c r="B151" s="2" t="e">
        <f>VLOOKUP(A151,#REF!,2,0)</f>
        <v>#REF!</v>
      </c>
      <c r="C151" s="5" t="e">
        <f>VLOOKUP(A151,#REF!,3,0)</f>
        <v>#REF!</v>
      </c>
      <c r="D151" s="2" t="e">
        <f>#REF!</f>
        <v>#REF!</v>
      </c>
      <c r="E151" s="8" t="e">
        <f>#REF!/100</f>
        <v>#REF!</v>
      </c>
      <c r="F151" s="7" t="e">
        <f>#REF!</f>
        <v>#REF!</v>
      </c>
    </row>
    <row r="152" spans="1:6" hidden="1" x14ac:dyDescent="0.25">
      <c r="A152" t="e">
        <f>#REF!</f>
        <v>#REF!</v>
      </c>
      <c r="B152" s="2" t="e">
        <f>VLOOKUP(A152,#REF!,2,0)</f>
        <v>#REF!</v>
      </c>
      <c r="C152" s="5" t="e">
        <f>VLOOKUP(A152,#REF!,3,0)</f>
        <v>#REF!</v>
      </c>
      <c r="D152" s="2" t="e">
        <f>#REF!</f>
        <v>#REF!</v>
      </c>
      <c r="E152" s="8" t="e">
        <f>#REF!/100</f>
        <v>#REF!</v>
      </c>
      <c r="F152" s="7" t="e">
        <f>#REF!</f>
        <v>#REF!</v>
      </c>
    </row>
    <row r="153" spans="1:6" x14ac:dyDescent="0.25">
      <c r="A153" t="e">
        <f>#REF!</f>
        <v>#REF!</v>
      </c>
      <c r="B153" s="2" t="e">
        <f>VLOOKUP(A153,#REF!,2,0)</f>
        <v>#REF!</v>
      </c>
      <c r="C153" s="5" t="e">
        <f>VLOOKUP(A153,#REF!,3,0)</f>
        <v>#REF!</v>
      </c>
      <c r="D153" s="2" t="e">
        <f>#REF!</f>
        <v>#REF!</v>
      </c>
      <c r="E153" s="8" t="e">
        <f>#REF!/100</f>
        <v>#REF!</v>
      </c>
      <c r="F153" s="7" t="e">
        <f>#REF!</f>
        <v>#REF!</v>
      </c>
    </row>
    <row r="154" spans="1:6" x14ac:dyDescent="0.25">
      <c r="A154" t="e">
        <f>#REF!</f>
        <v>#REF!</v>
      </c>
      <c r="B154" s="2" t="e">
        <f>VLOOKUP(A154,#REF!,2,0)</f>
        <v>#REF!</v>
      </c>
      <c r="C154" s="5" t="e">
        <f>VLOOKUP(A154,#REF!,3,0)</f>
        <v>#REF!</v>
      </c>
      <c r="D154" s="2" t="e">
        <f>#REF!</f>
        <v>#REF!</v>
      </c>
      <c r="E154" s="8" t="e">
        <f>#REF!/100</f>
        <v>#REF!</v>
      </c>
      <c r="F154" s="7" t="e">
        <f>#REF!</f>
        <v>#REF!</v>
      </c>
    </row>
    <row r="155" spans="1:6" x14ac:dyDescent="0.25">
      <c r="A155" t="e">
        <f>#REF!</f>
        <v>#REF!</v>
      </c>
      <c r="B155" s="2" t="e">
        <f>VLOOKUP(A155,#REF!,2,0)</f>
        <v>#REF!</v>
      </c>
      <c r="C155" s="5" t="e">
        <f>VLOOKUP(A155,#REF!,3,0)</f>
        <v>#REF!</v>
      </c>
      <c r="D155" s="2" t="e">
        <f>#REF!</f>
        <v>#REF!</v>
      </c>
      <c r="E155" s="8" t="e">
        <f>#REF!/100</f>
        <v>#REF!</v>
      </c>
      <c r="F155" s="7" t="e">
        <f>#REF!</f>
        <v>#REF!</v>
      </c>
    </row>
    <row r="156" spans="1:6" x14ac:dyDescent="0.25">
      <c r="A156" t="e">
        <f>#REF!</f>
        <v>#REF!</v>
      </c>
      <c r="B156" s="2" t="e">
        <f>VLOOKUP(A156,#REF!,2,0)</f>
        <v>#REF!</v>
      </c>
      <c r="C156" s="5" t="e">
        <f>VLOOKUP(A156,#REF!,3,0)</f>
        <v>#REF!</v>
      </c>
      <c r="D156" s="2" t="e">
        <f>#REF!</f>
        <v>#REF!</v>
      </c>
      <c r="E156" s="8" t="e">
        <f>#REF!/100</f>
        <v>#REF!</v>
      </c>
      <c r="F156" s="7" t="e">
        <f>#REF!</f>
        <v>#REF!</v>
      </c>
    </row>
    <row r="157" spans="1:6" x14ac:dyDescent="0.25">
      <c r="A157" t="e">
        <f>#REF!</f>
        <v>#REF!</v>
      </c>
      <c r="B157" s="2" t="e">
        <f>VLOOKUP(A157,#REF!,2,0)</f>
        <v>#REF!</v>
      </c>
      <c r="C157" s="5" t="e">
        <f>VLOOKUP(A157,#REF!,3,0)</f>
        <v>#REF!</v>
      </c>
      <c r="D157" s="2" t="e">
        <f>#REF!</f>
        <v>#REF!</v>
      </c>
      <c r="E157" s="8" t="e">
        <f>#REF!/100</f>
        <v>#REF!</v>
      </c>
      <c r="F157" s="7" t="e">
        <f>#REF!</f>
        <v>#REF!</v>
      </c>
    </row>
    <row r="158" spans="1:6" hidden="1" x14ac:dyDescent="0.25">
      <c r="A158" t="e">
        <f>#REF!</f>
        <v>#REF!</v>
      </c>
      <c r="B158" s="2" t="e">
        <f>VLOOKUP(A158,#REF!,2,0)</f>
        <v>#REF!</v>
      </c>
      <c r="C158" s="5" t="e">
        <f>VLOOKUP(A158,#REF!,3,0)</f>
        <v>#REF!</v>
      </c>
      <c r="D158" s="2" t="e">
        <f>#REF!</f>
        <v>#REF!</v>
      </c>
      <c r="E158" s="8" t="e">
        <f>#REF!/100</f>
        <v>#REF!</v>
      </c>
      <c r="F158" s="7" t="e">
        <f>#REF!</f>
        <v>#REF!</v>
      </c>
    </row>
    <row r="159" spans="1:6" x14ac:dyDescent="0.25">
      <c r="A159" t="e">
        <f>#REF!</f>
        <v>#REF!</v>
      </c>
      <c r="B159" s="2" t="e">
        <f>VLOOKUP(A159,#REF!,2,0)</f>
        <v>#REF!</v>
      </c>
      <c r="C159" s="5" t="e">
        <f>VLOOKUP(A159,#REF!,3,0)</f>
        <v>#REF!</v>
      </c>
      <c r="D159" s="2" t="e">
        <f>#REF!</f>
        <v>#REF!</v>
      </c>
      <c r="E159" s="8" t="e">
        <f>#REF!/100</f>
        <v>#REF!</v>
      </c>
      <c r="F159" s="7" t="e">
        <f>#REF!</f>
        <v>#REF!</v>
      </c>
    </row>
    <row r="160" spans="1:6" x14ac:dyDescent="0.25">
      <c r="A160" t="e">
        <f>#REF!</f>
        <v>#REF!</v>
      </c>
      <c r="B160" s="2" t="e">
        <f>VLOOKUP(A160,#REF!,2,0)</f>
        <v>#REF!</v>
      </c>
      <c r="C160" s="5" t="e">
        <f>VLOOKUP(A160,#REF!,3,0)</f>
        <v>#REF!</v>
      </c>
      <c r="D160" s="2" t="e">
        <f>#REF!</f>
        <v>#REF!</v>
      </c>
      <c r="E160" s="8" t="e">
        <f>#REF!/100</f>
        <v>#REF!</v>
      </c>
      <c r="F160" s="7" t="e">
        <f>#REF!</f>
        <v>#REF!</v>
      </c>
    </row>
    <row r="161" spans="1:6" x14ac:dyDescent="0.25">
      <c r="A161" t="e">
        <f>#REF!</f>
        <v>#REF!</v>
      </c>
      <c r="B161" s="2" t="e">
        <f>VLOOKUP(A161,#REF!,2,0)</f>
        <v>#REF!</v>
      </c>
      <c r="C161" s="5" t="e">
        <f>VLOOKUP(A161,#REF!,3,0)</f>
        <v>#REF!</v>
      </c>
      <c r="D161" s="2" t="e">
        <f>#REF!</f>
        <v>#REF!</v>
      </c>
      <c r="E161" s="8" t="e">
        <f>#REF!/100</f>
        <v>#REF!</v>
      </c>
      <c r="F161" s="7" t="e">
        <f>#REF!</f>
        <v>#REF!</v>
      </c>
    </row>
    <row r="162" spans="1:6" x14ac:dyDescent="0.25">
      <c r="A162" t="e">
        <f>#REF!</f>
        <v>#REF!</v>
      </c>
      <c r="B162" s="2" t="e">
        <f>VLOOKUP(A162,#REF!,2,0)</f>
        <v>#REF!</v>
      </c>
      <c r="C162" s="5" t="e">
        <f>VLOOKUP(A162,#REF!,3,0)</f>
        <v>#REF!</v>
      </c>
      <c r="D162" s="2" t="e">
        <f>#REF!</f>
        <v>#REF!</v>
      </c>
      <c r="E162" s="8" t="e">
        <f>#REF!/100</f>
        <v>#REF!</v>
      </c>
      <c r="F162" s="7" t="e">
        <f>#REF!</f>
        <v>#REF!</v>
      </c>
    </row>
    <row r="163" spans="1:6" x14ac:dyDescent="0.25">
      <c r="A163" t="e">
        <f>#REF!</f>
        <v>#REF!</v>
      </c>
      <c r="B163" s="2" t="e">
        <f>VLOOKUP(A163,#REF!,2,0)</f>
        <v>#REF!</v>
      </c>
      <c r="C163" s="5" t="e">
        <f>VLOOKUP(A163,#REF!,3,0)</f>
        <v>#REF!</v>
      </c>
      <c r="D163" s="2" t="e">
        <f>#REF!</f>
        <v>#REF!</v>
      </c>
      <c r="E163" s="8" t="e">
        <f>#REF!/100</f>
        <v>#REF!</v>
      </c>
      <c r="F163" s="7" t="e">
        <f>#REF!</f>
        <v>#REF!</v>
      </c>
    </row>
    <row r="164" spans="1:6" hidden="1" x14ac:dyDescent="0.25">
      <c r="A164" t="e">
        <f>#REF!</f>
        <v>#REF!</v>
      </c>
      <c r="B164" s="2" t="e">
        <f>VLOOKUP(A164,#REF!,2,0)</f>
        <v>#REF!</v>
      </c>
      <c r="C164" s="5" t="e">
        <f>VLOOKUP(A164,#REF!,3,0)</f>
        <v>#REF!</v>
      </c>
      <c r="D164" s="2" t="e">
        <f>#REF!</f>
        <v>#REF!</v>
      </c>
      <c r="E164" s="8" t="e">
        <f>#REF!/100</f>
        <v>#REF!</v>
      </c>
      <c r="F164" s="7" t="e">
        <f>#REF!</f>
        <v>#REF!</v>
      </c>
    </row>
    <row r="165" spans="1:6" x14ac:dyDescent="0.25">
      <c r="A165" t="e">
        <f>#REF!</f>
        <v>#REF!</v>
      </c>
      <c r="B165" s="2" t="e">
        <f>VLOOKUP(A165,#REF!,2,0)</f>
        <v>#REF!</v>
      </c>
      <c r="C165" s="5" t="e">
        <f>VLOOKUP(A165,#REF!,3,0)</f>
        <v>#REF!</v>
      </c>
      <c r="D165" s="2" t="e">
        <f>#REF!</f>
        <v>#REF!</v>
      </c>
      <c r="E165" s="8" t="e">
        <f>#REF!/100</f>
        <v>#REF!</v>
      </c>
      <c r="F165" s="7" t="e">
        <f>#REF!</f>
        <v>#REF!</v>
      </c>
    </row>
    <row r="166" spans="1:6" x14ac:dyDescent="0.25">
      <c r="A166" t="e">
        <f>#REF!</f>
        <v>#REF!</v>
      </c>
      <c r="B166" s="2" t="e">
        <f>VLOOKUP(A166,#REF!,2,0)</f>
        <v>#REF!</v>
      </c>
      <c r="C166" s="5" t="e">
        <f>VLOOKUP(A166,#REF!,3,0)</f>
        <v>#REF!</v>
      </c>
      <c r="D166" s="2" t="e">
        <f>#REF!</f>
        <v>#REF!</v>
      </c>
      <c r="E166" s="8" t="e">
        <f>#REF!/100</f>
        <v>#REF!</v>
      </c>
      <c r="F166" s="7" t="e">
        <f>#REF!</f>
        <v>#REF!</v>
      </c>
    </row>
    <row r="167" spans="1:6" x14ac:dyDescent="0.25">
      <c r="A167" t="e">
        <f>#REF!</f>
        <v>#REF!</v>
      </c>
      <c r="B167" s="2" t="e">
        <f>VLOOKUP(A167,#REF!,2,0)</f>
        <v>#REF!</v>
      </c>
      <c r="C167" s="5" t="e">
        <f>VLOOKUP(A167,#REF!,3,0)</f>
        <v>#REF!</v>
      </c>
      <c r="D167" s="2" t="e">
        <f>#REF!</f>
        <v>#REF!</v>
      </c>
      <c r="E167" s="8" t="e">
        <f>#REF!/100</f>
        <v>#REF!</v>
      </c>
      <c r="F167" s="7" t="e">
        <f>#REF!</f>
        <v>#REF!</v>
      </c>
    </row>
    <row r="168" spans="1:6" x14ac:dyDescent="0.25">
      <c r="A168" t="e">
        <f>#REF!</f>
        <v>#REF!</v>
      </c>
      <c r="B168" s="2" t="e">
        <f>VLOOKUP(A168,#REF!,2,0)</f>
        <v>#REF!</v>
      </c>
      <c r="C168" s="5" t="e">
        <f>VLOOKUP(A168,#REF!,3,0)</f>
        <v>#REF!</v>
      </c>
      <c r="D168" s="2" t="e">
        <f>#REF!</f>
        <v>#REF!</v>
      </c>
      <c r="E168" s="8" t="e">
        <f>#REF!/100</f>
        <v>#REF!</v>
      </c>
      <c r="F168" s="7" t="e">
        <f>#REF!</f>
        <v>#REF!</v>
      </c>
    </row>
    <row r="169" spans="1:6" x14ac:dyDescent="0.25">
      <c r="A169" t="e">
        <f>#REF!</f>
        <v>#REF!</v>
      </c>
      <c r="B169" s="2" t="e">
        <f>VLOOKUP(A169,#REF!,2,0)</f>
        <v>#REF!</v>
      </c>
      <c r="C169" s="5" t="e">
        <f>VLOOKUP(A169,#REF!,3,0)</f>
        <v>#REF!</v>
      </c>
      <c r="D169" s="2" t="e">
        <f>#REF!</f>
        <v>#REF!</v>
      </c>
      <c r="E169" s="8" t="e">
        <f>#REF!/100</f>
        <v>#REF!</v>
      </c>
      <c r="F169" s="7" t="e">
        <f>#REF!</f>
        <v>#REF!</v>
      </c>
    </row>
    <row r="170" spans="1:6" x14ac:dyDescent="0.25">
      <c r="A170" t="e">
        <f>#REF!</f>
        <v>#REF!</v>
      </c>
      <c r="B170" s="2" t="e">
        <f>VLOOKUP(A170,#REF!,2,0)</f>
        <v>#REF!</v>
      </c>
      <c r="C170" s="5" t="e">
        <f>VLOOKUP(A170,#REF!,3,0)</f>
        <v>#REF!</v>
      </c>
      <c r="D170" s="2" t="e">
        <f>#REF!</f>
        <v>#REF!</v>
      </c>
      <c r="E170" s="8" t="e">
        <f>#REF!/100</f>
        <v>#REF!</v>
      </c>
      <c r="F170" s="7" t="e">
        <f>#REF!</f>
        <v>#REF!</v>
      </c>
    </row>
    <row r="171" spans="1:6" hidden="1" x14ac:dyDescent="0.25">
      <c r="A171" t="e">
        <f>#REF!</f>
        <v>#REF!</v>
      </c>
      <c r="B171" s="2" t="e">
        <f>VLOOKUP(A171,#REF!,2,0)</f>
        <v>#REF!</v>
      </c>
      <c r="C171" s="5" t="e">
        <f>VLOOKUP(A171,#REF!,3,0)</f>
        <v>#REF!</v>
      </c>
      <c r="D171" s="2" t="e">
        <f>#REF!</f>
        <v>#REF!</v>
      </c>
      <c r="E171" s="8" t="e">
        <f>#REF!/100</f>
        <v>#REF!</v>
      </c>
      <c r="F171" s="7" t="e">
        <f>#REF!</f>
        <v>#REF!</v>
      </c>
    </row>
    <row r="172" spans="1:6" x14ac:dyDescent="0.25">
      <c r="A172" t="e">
        <f>#REF!</f>
        <v>#REF!</v>
      </c>
      <c r="B172" s="2" t="e">
        <f>VLOOKUP(A172,#REF!,2,0)</f>
        <v>#REF!</v>
      </c>
      <c r="C172" s="5" t="e">
        <f>VLOOKUP(A172,#REF!,3,0)</f>
        <v>#REF!</v>
      </c>
      <c r="D172" s="2" t="e">
        <f>#REF!</f>
        <v>#REF!</v>
      </c>
      <c r="E172" s="8" t="e">
        <f>#REF!/100</f>
        <v>#REF!</v>
      </c>
      <c r="F172" s="7" t="e">
        <f>#REF!</f>
        <v>#REF!</v>
      </c>
    </row>
    <row r="173" spans="1:6" x14ac:dyDescent="0.25">
      <c r="A173" t="e">
        <f>#REF!</f>
        <v>#REF!</v>
      </c>
      <c r="B173" s="2" t="e">
        <f>VLOOKUP(A173,#REF!,2,0)</f>
        <v>#REF!</v>
      </c>
      <c r="C173" s="5" t="e">
        <f>VLOOKUP(A173,#REF!,3,0)</f>
        <v>#REF!</v>
      </c>
      <c r="D173" s="2" t="e">
        <f>#REF!</f>
        <v>#REF!</v>
      </c>
      <c r="E173" s="8" t="e">
        <f>#REF!/100</f>
        <v>#REF!</v>
      </c>
      <c r="F173" s="7" t="e">
        <f>#REF!</f>
        <v>#REF!</v>
      </c>
    </row>
    <row r="174" spans="1:6" x14ac:dyDescent="0.25">
      <c r="A174" t="e">
        <f>#REF!</f>
        <v>#REF!</v>
      </c>
      <c r="B174" s="2" t="e">
        <f>VLOOKUP(A174,#REF!,2,0)</f>
        <v>#REF!</v>
      </c>
      <c r="C174" s="5" t="e">
        <f>VLOOKUP(A174,#REF!,3,0)</f>
        <v>#REF!</v>
      </c>
      <c r="D174" s="2" t="e">
        <f>#REF!</f>
        <v>#REF!</v>
      </c>
      <c r="E174" s="8" t="e">
        <f>#REF!/100</f>
        <v>#REF!</v>
      </c>
      <c r="F174" s="7" t="e">
        <f>#REF!</f>
        <v>#REF!</v>
      </c>
    </row>
    <row r="175" spans="1:6" x14ac:dyDescent="0.25">
      <c r="A175" t="e">
        <f>#REF!</f>
        <v>#REF!</v>
      </c>
      <c r="B175" s="2" t="e">
        <f>VLOOKUP(A175,#REF!,2,0)</f>
        <v>#REF!</v>
      </c>
      <c r="C175" s="5" t="e">
        <f>VLOOKUP(A175,#REF!,3,0)</f>
        <v>#REF!</v>
      </c>
      <c r="D175" s="2" t="e">
        <f>#REF!</f>
        <v>#REF!</v>
      </c>
      <c r="E175" s="8" t="e">
        <f>#REF!/100</f>
        <v>#REF!</v>
      </c>
      <c r="F175" s="7" t="e">
        <f>#REF!</f>
        <v>#REF!</v>
      </c>
    </row>
    <row r="176" spans="1:6" x14ac:dyDescent="0.25">
      <c r="A176" t="e">
        <f>#REF!</f>
        <v>#REF!</v>
      </c>
      <c r="B176" s="2" t="e">
        <f>VLOOKUP(A176,#REF!,2,0)</f>
        <v>#REF!</v>
      </c>
      <c r="C176" s="5" t="e">
        <f>VLOOKUP(A176,#REF!,3,0)</f>
        <v>#REF!</v>
      </c>
      <c r="D176" s="2" t="e">
        <f>#REF!</f>
        <v>#REF!</v>
      </c>
      <c r="E176" s="8" t="e">
        <f>#REF!/100</f>
        <v>#REF!</v>
      </c>
      <c r="F176" s="7" t="e">
        <f>#REF!</f>
        <v>#REF!</v>
      </c>
    </row>
    <row r="177" spans="1:6" hidden="1" x14ac:dyDescent="0.25">
      <c r="A177" t="e">
        <f>#REF!</f>
        <v>#REF!</v>
      </c>
      <c r="B177" s="2" t="e">
        <f>VLOOKUP(A177,#REF!,2,0)</f>
        <v>#REF!</v>
      </c>
      <c r="C177" s="5" t="e">
        <f>VLOOKUP(A177,#REF!,3,0)</f>
        <v>#REF!</v>
      </c>
      <c r="D177" s="2" t="e">
        <f>#REF!</f>
        <v>#REF!</v>
      </c>
      <c r="E177" s="8" t="e">
        <f>#REF!/100</f>
        <v>#REF!</v>
      </c>
      <c r="F177" s="7" t="e">
        <f>#REF!</f>
        <v>#REF!</v>
      </c>
    </row>
    <row r="178" spans="1:6" x14ac:dyDescent="0.25">
      <c r="A178" t="e">
        <f>#REF!</f>
        <v>#REF!</v>
      </c>
      <c r="B178" s="2" t="e">
        <f>VLOOKUP(A178,#REF!,2,0)</f>
        <v>#REF!</v>
      </c>
      <c r="C178" s="5" t="e">
        <f>VLOOKUP(A178,#REF!,3,0)</f>
        <v>#REF!</v>
      </c>
      <c r="D178" s="2" t="e">
        <f>#REF!</f>
        <v>#REF!</v>
      </c>
      <c r="E178" s="8" t="e">
        <f>#REF!/100</f>
        <v>#REF!</v>
      </c>
      <c r="F178" s="7" t="e">
        <f>#REF!</f>
        <v>#REF!</v>
      </c>
    </row>
    <row r="179" spans="1:6" x14ac:dyDescent="0.25">
      <c r="A179" t="e">
        <f>#REF!</f>
        <v>#REF!</v>
      </c>
      <c r="B179" s="2" t="e">
        <f>VLOOKUP(A179,#REF!,2,0)</f>
        <v>#REF!</v>
      </c>
      <c r="C179" s="5" t="e">
        <f>VLOOKUP(A179,#REF!,3,0)</f>
        <v>#REF!</v>
      </c>
      <c r="D179" s="2" t="e">
        <f>#REF!</f>
        <v>#REF!</v>
      </c>
      <c r="E179" s="8" t="e">
        <f>#REF!/100</f>
        <v>#REF!</v>
      </c>
      <c r="F179" s="7" t="e">
        <f>#REF!</f>
        <v>#REF!</v>
      </c>
    </row>
    <row r="180" spans="1:6" x14ac:dyDescent="0.25">
      <c r="A180" t="e">
        <f>#REF!</f>
        <v>#REF!</v>
      </c>
      <c r="B180" s="2" t="e">
        <f>VLOOKUP(A180,#REF!,2,0)</f>
        <v>#REF!</v>
      </c>
      <c r="C180" s="5" t="e">
        <f>VLOOKUP(A180,#REF!,3,0)</f>
        <v>#REF!</v>
      </c>
      <c r="D180" s="2" t="e">
        <f>#REF!</f>
        <v>#REF!</v>
      </c>
      <c r="E180" s="8" t="e">
        <f>#REF!/100</f>
        <v>#REF!</v>
      </c>
      <c r="F180" s="7" t="e">
        <f>#REF!</f>
        <v>#REF!</v>
      </c>
    </row>
    <row r="181" spans="1:6" x14ac:dyDescent="0.25">
      <c r="A181" t="e">
        <f>#REF!</f>
        <v>#REF!</v>
      </c>
      <c r="B181" s="2" t="e">
        <f>VLOOKUP(A181,#REF!,2,0)</f>
        <v>#REF!</v>
      </c>
      <c r="C181" s="5" t="e">
        <f>VLOOKUP(A181,#REF!,3,0)</f>
        <v>#REF!</v>
      </c>
      <c r="D181" s="2" t="e">
        <f>#REF!</f>
        <v>#REF!</v>
      </c>
      <c r="E181" s="8" t="e">
        <f>#REF!/100</f>
        <v>#REF!</v>
      </c>
      <c r="F181" s="7" t="e">
        <f>#REF!</f>
        <v>#REF!</v>
      </c>
    </row>
    <row r="182" spans="1:6" x14ac:dyDescent="0.25">
      <c r="A182" t="e">
        <f>#REF!</f>
        <v>#REF!</v>
      </c>
      <c r="B182" s="2" t="e">
        <f>VLOOKUP(A182,#REF!,2,0)</f>
        <v>#REF!</v>
      </c>
      <c r="C182" s="5" t="e">
        <f>VLOOKUP(A182,#REF!,3,0)</f>
        <v>#REF!</v>
      </c>
      <c r="D182" s="2" t="e">
        <f>#REF!</f>
        <v>#REF!</v>
      </c>
      <c r="E182" s="8" t="e">
        <f>#REF!/100</f>
        <v>#REF!</v>
      </c>
      <c r="F182" s="7" t="e">
        <f>#REF!</f>
        <v>#REF!</v>
      </c>
    </row>
    <row r="183" spans="1:6" x14ac:dyDescent="0.25">
      <c r="A183" t="e">
        <f>#REF!</f>
        <v>#REF!</v>
      </c>
      <c r="B183" s="2" t="e">
        <f>VLOOKUP(A183,#REF!,2,0)</f>
        <v>#REF!</v>
      </c>
      <c r="C183" s="5" t="e">
        <f>VLOOKUP(A183,#REF!,3,0)</f>
        <v>#REF!</v>
      </c>
      <c r="D183" s="2" t="e">
        <f>#REF!</f>
        <v>#REF!</v>
      </c>
      <c r="E183" s="8" t="e">
        <f>#REF!/100</f>
        <v>#REF!</v>
      </c>
      <c r="F183" s="7" t="e">
        <f>#REF!</f>
        <v>#REF!</v>
      </c>
    </row>
    <row r="184" spans="1:6" x14ac:dyDescent="0.25">
      <c r="A184" t="e">
        <f>#REF!</f>
        <v>#REF!</v>
      </c>
      <c r="B184" s="2" t="e">
        <f>VLOOKUP(A184,#REF!,2,0)</f>
        <v>#REF!</v>
      </c>
      <c r="C184" s="5" t="e">
        <f>VLOOKUP(A184,#REF!,3,0)</f>
        <v>#REF!</v>
      </c>
      <c r="D184" s="2" t="e">
        <f>#REF!</f>
        <v>#REF!</v>
      </c>
      <c r="E184" s="8" t="e">
        <f>#REF!/100</f>
        <v>#REF!</v>
      </c>
      <c r="F184" s="7" t="e">
        <f>#REF!</f>
        <v>#REF!</v>
      </c>
    </row>
    <row r="185" spans="1:6" x14ac:dyDescent="0.25">
      <c r="A185" t="e">
        <f>#REF!</f>
        <v>#REF!</v>
      </c>
      <c r="B185" s="2" t="e">
        <f>VLOOKUP(A185,#REF!,2,0)</f>
        <v>#REF!</v>
      </c>
      <c r="C185" s="5" t="e">
        <f>VLOOKUP(A185,#REF!,3,0)</f>
        <v>#REF!</v>
      </c>
      <c r="D185" s="2" t="e">
        <f>#REF!</f>
        <v>#REF!</v>
      </c>
      <c r="E185" s="8" t="e">
        <f>#REF!/100</f>
        <v>#REF!</v>
      </c>
      <c r="F185" s="7" t="e">
        <f>#REF!</f>
        <v>#REF!</v>
      </c>
    </row>
    <row r="186" spans="1:6" x14ac:dyDescent="0.25">
      <c r="A186" t="e">
        <f>#REF!</f>
        <v>#REF!</v>
      </c>
      <c r="B186" s="2" t="e">
        <f>VLOOKUP(A186,#REF!,2,0)</f>
        <v>#REF!</v>
      </c>
      <c r="C186" s="5" t="e">
        <f>VLOOKUP(A186,#REF!,3,0)</f>
        <v>#REF!</v>
      </c>
      <c r="D186" s="2" t="e">
        <f>#REF!</f>
        <v>#REF!</v>
      </c>
      <c r="E186" s="8" t="e">
        <f>#REF!/100</f>
        <v>#REF!</v>
      </c>
      <c r="F186" s="7" t="e">
        <f>#REF!</f>
        <v>#REF!</v>
      </c>
    </row>
    <row r="187" spans="1:6" x14ac:dyDescent="0.25">
      <c r="A187" t="e">
        <f>#REF!</f>
        <v>#REF!</v>
      </c>
      <c r="B187" s="2" t="e">
        <f>VLOOKUP(A187,#REF!,2,0)</f>
        <v>#REF!</v>
      </c>
      <c r="C187" s="5" t="e">
        <f>VLOOKUP(A187,#REF!,3,0)</f>
        <v>#REF!</v>
      </c>
      <c r="D187" s="2" t="e">
        <f>#REF!</f>
        <v>#REF!</v>
      </c>
      <c r="E187" s="8" t="e">
        <f>#REF!/100</f>
        <v>#REF!</v>
      </c>
      <c r="F187" s="7" t="e">
        <f>#REF!</f>
        <v>#REF!</v>
      </c>
    </row>
    <row r="188" spans="1:6" x14ac:dyDescent="0.25">
      <c r="A188" t="e">
        <f>#REF!</f>
        <v>#REF!</v>
      </c>
      <c r="B188" s="2" t="e">
        <f>VLOOKUP(A188,#REF!,2,0)</f>
        <v>#REF!</v>
      </c>
      <c r="C188" s="5" t="e">
        <f>VLOOKUP(A188,#REF!,3,0)</f>
        <v>#REF!</v>
      </c>
      <c r="D188" s="2" t="e">
        <f>#REF!</f>
        <v>#REF!</v>
      </c>
      <c r="E188" s="8" t="e">
        <f>#REF!/100</f>
        <v>#REF!</v>
      </c>
      <c r="F188" s="7" t="e">
        <f>#REF!</f>
        <v>#REF!</v>
      </c>
    </row>
    <row r="189" spans="1:6" x14ac:dyDescent="0.25">
      <c r="A189" t="e">
        <f>#REF!</f>
        <v>#REF!</v>
      </c>
      <c r="B189" s="2" t="e">
        <f>VLOOKUP(A189,#REF!,2,0)</f>
        <v>#REF!</v>
      </c>
      <c r="C189" s="5" t="e">
        <f>VLOOKUP(A189,#REF!,3,0)</f>
        <v>#REF!</v>
      </c>
      <c r="D189" s="2" t="e">
        <f>#REF!</f>
        <v>#REF!</v>
      </c>
      <c r="E189" s="8" t="e">
        <f>#REF!/100</f>
        <v>#REF!</v>
      </c>
      <c r="F189" s="7" t="e">
        <f>#REF!</f>
        <v>#REF!</v>
      </c>
    </row>
    <row r="190" spans="1:6" x14ac:dyDescent="0.25">
      <c r="A190" t="e">
        <f>#REF!</f>
        <v>#REF!</v>
      </c>
      <c r="B190" s="2" t="e">
        <f>VLOOKUP(A190,#REF!,2,0)</f>
        <v>#REF!</v>
      </c>
      <c r="C190" s="5" t="e">
        <f>VLOOKUP(A190,#REF!,3,0)</f>
        <v>#REF!</v>
      </c>
      <c r="D190" s="2" t="e">
        <f>#REF!</f>
        <v>#REF!</v>
      </c>
      <c r="E190" s="8" t="e">
        <f>#REF!/100</f>
        <v>#REF!</v>
      </c>
      <c r="F190" s="7" t="e">
        <f>#REF!</f>
        <v>#REF!</v>
      </c>
    </row>
    <row r="191" spans="1:6" x14ac:dyDescent="0.25">
      <c r="A191" t="e">
        <f>#REF!</f>
        <v>#REF!</v>
      </c>
      <c r="B191" s="2" t="e">
        <f>VLOOKUP(A191,#REF!,2,0)</f>
        <v>#REF!</v>
      </c>
      <c r="C191" s="5" t="e">
        <f>VLOOKUP(A191,#REF!,3,0)</f>
        <v>#REF!</v>
      </c>
      <c r="D191" s="2" t="e">
        <f>#REF!</f>
        <v>#REF!</v>
      </c>
      <c r="E191" s="8" t="e">
        <f>#REF!/100</f>
        <v>#REF!</v>
      </c>
      <c r="F191" s="7" t="e">
        <f>#REF!</f>
        <v>#REF!</v>
      </c>
    </row>
    <row r="192" spans="1:6" x14ac:dyDescent="0.25">
      <c r="A192" t="e">
        <f>#REF!</f>
        <v>#REF!</v>
      </c>
      <c r="B192" s="2" t="e">
        <f>VLOOKUP(A192,#REF!,2,0)</f>
        <v>#REF!</v>
      </c>
      <c r="C192" s="5" t="e">
        <f>VLOOKUP(A192,#REF!,3,0)</f>
        <v>#REF!</v>
      </c>
      <c r="D192" s="2" t="e">
        <f>#REF!</f>
        <v>#REF!</v>
      </c>
      <c r="E192" s="8" t="e">
        <f>#REF!/100</f>
        <v>#REF!</v>
      </c>
      <c r="F192" s="7" t="e">
        <f>#REF!</f>
        <v>#REF!</v>
      </c>
    </row>
    <row r="193" spans="1:6" x14ac:dyDescent="0.25">
      <c r="A193" t="e">
        <f>#REF!</f>
        <v>#REF!</v>
      </c>
      <c r="B193" s="2" t="e">
        <f>VLOOKUP(A193,#REF!,2,0)</f>
        <v>#REF!</v>
      </c>
      <c r="C193" s="5" t="e">
        <f>VLOOKUP(A193,#REF!,3,0)</f>
        <v>#REF!</v>
      </c>
      <c r="D193" s="2" t="e">
        <f>#REF!</f>
        <v>#REF!</v>
      </c>
      <c r="E193" s="8" t="e">
        <f>#REF!/100</f>
        <v>#REF!</v>
      </c>
      <c r="F193" s="7" t="e">
        <f>#REF!</f>
        <v>#REF!</v>
      </c>
    </row>
    <row r="194" spans="1:6" x14ac:dyDescent="0.25">
      <c r="A194" t="e">
        <f>#REF!</f>
        <v>#REF!</v>
      </c>
      <c r="B194" s="2" t="e">
        <f>VLOOKUP(A194,#REF!,2,0)</f>
        <v>#REF!</v>
      </c>
      <c r="C194" s="5" t="e">
        <f>VLOOKUP(A194,#REF!,3,0)</f>
        <v>#REF!</v>
      </c>
      <c r="D194" s="2" t="e">
        <f>#REF!</f>
        <v>#REF!</v>
      </c>
      <c r="E194" s="8" t="e">
        <f>#REF!/100</f>
        <v>#REF!</v>
      </c>
      <c r="F194" s="7" t="e">
        <f>#REF!</f>
        <v>#REF!</v>
      </c>
    </row>
    <row r="195" spans="1:6" x14ac:dyDescent="0.25">
      <c r="A195" t="e">
        <f>#REF!</f>
        <v>#REF!</v>
      </c>
      <c r="B195" s="2" t="e">
        <f>VLOOKUP(A195,#REF!,2,0)</f>
        <v>#REF!</v>
      </c>
      <c r="C195" s="5" t="e">
        <f>VLOOKUP(A195,#REF!,3,0)</f>
        <v>#REF!</v>
      </c>
      <c r="D195" s="2" t="e">
        <f>#REF!</f>
        <v>#REF!</v>
      </c>
      <c r="E195" s="8" t="e">
        <f>#REF!/100</f>
        <v>#REF!</v>
      </c>
      <c r="F195" s="7" t="e">
        <f>#REF!</f>
        <v>#REF!</v>
      </c>
    </row>
    <row r="196" spans="1:6" hidden="1" x14ac:dyDescent="0.25">
      <c r="A196" t="e">
        <f>#REF!</f>
        <v>#REF!</v>
      </c>
      <c r="B196" s="2" t="e">
        <f>VLOOKUP(A196,#REF!,2,0)</f>
        <v>#REF!</v>
      </c>
      <c r="C196" s="5" t="e">
        <f>VLOOKUP(A196,#REF!,3,0)</f>
        <v>#REF!</v>
      </c>
      <c r="D196" s="2" t="e">
        <f>#REF!</f>
        <v>#REF!</v>
      </c>
      <c r="E196" s="8" t="e">
        <f>#REF!/100</f>
        <v>#REF!</v>
      </c>
      <c r="F196" s="7" t="e">
        <f>#REF!</f>
        <v>#REF!</v>
      </c>
    </row>
    <row r="197" spans="1:6" x14ac:dyDescent="0.25">
      <c r="A197" t="e">
        <f>#REF!</f>
        <v>#REF!</v>
      </c>
      <c r="B197" s="2" t="e">
        <f>VLOOKUP(A197,#REF!,2,0)</f>
        <v>#REF!</v>
      </c>
      <c r="C197" s="5" t="e">
        <f>VLOOKUP(A197,#REF!,3,0)</f>
        <v>#REF!</v>
      </c>
      <c r="D197" s="2" t="e">
        <f>#REF!</f>
        <v>#REF!</v>
      </c>
      <c r="E197" s="8" t="e">
        <f>#REF!/100</f>
        <v>#REF!</v>
      </c>
      <c r="F197" s="7" t="e">
        <f>#REF!</f>
        <v>#REF!</v>
      </c>
    </row>
    <row r="198" spans="1:6" x14ac:dyDescent="0.25">
      <c r="A198" t="e">
        <f>#REF!</f>
        <v>#REF!</v>
      </c>
      <c r="B198" s="2" t="e">
        <f>VLOOKUP(A198,#REF!,2,0)</f>
        <v>#REF!</v>
      </c>
      <c r="C198" s="5" t="e">
        <f>VLOOKUP(A198,#REF!,3,0)</f>
        <v>#REF!</v>
      </c>
      <c r="D198" s="2" t="e">
        <f>#REF!</f>
        <v>#REF!</v>
      </c>
      <c r="E198" s="8" t="e">
        <f>#REF!/100</f>
        <v>#REF!</v>
      </c>
      <c r="F198" s="7" t="e">
        <f>#REF!</f>
        <v>#REF!</v>
      </c>
    </row>
    <row r="199" spans="1:6" x14ac:dyDescent="0.25">
      <c r="A199" t="e">
        <f>#REF!</f>
        <v>#REF!</v>
      </c>
      <c r="B199" s="2" t="e">
        <f>VLOOKUP(A199,#REF!,2,0)</f>
        <v>#REF!</v>
      </c>
      <c r="C199" s="5" t="e">
        <f>VLOOKUP(A199,#REF!,3,0)</f>
        <v>#REF!</v>
      </c>
      <c r="D199" s="2" t="e">
        <f>#REF!</f>
        <v>#REF!</v>
      </c>
      <c r="E199" s="8" t="e">
        <f>#REF!/100</f>
        <v>#REF!</v>
      </c>
      <c r="F199" s="7" t="e">
        <f>#REF!</f>
        <v>#REF!</v>
      </c>
    </row>
    <row r="200" spans="1:6" x14ac:dyDescent="0.25">
      <c r="A200" t="e">
        <f>#REF!</f>
        <v>#REF!</v>
      </c>
      <c r="B200" s="2" t="e">
        <f>VLOOKUP(A200,#REF!,2,0)</f>
        <v>#REF!</v>
      </c>
      <c r="C200" s="5" t="e">
        <f>VLOOKUP(A200,#REF!,3,0)</f>
        <v>#REF!</v>
      </c>
      <c r="D200" s="2" t="e">
        <f>#REF!</f>
        <v>#REF!</v>
      </c>
      <c r="E200" s="8" t="e">
        <f>#REF!/100</f>
        <v>#REF!</v>
      </c>
      <c r="F200" s="7" t="e">
        <f>#REF!</f>
        <v>#REF!</v>
      </c>
    </row>
    <row r="201" spans="1:6" x14ac:dyDescent="0.25">
      <c r="A201" t="e">
        <f>#REF!</f>
        <v>#REF!</v>
      </c>
      <c r="B201" s="2" t="e">
        <f>VLOOKUP(A201,#REF!,2,0)</f>
        <v>#REF!</v>
      </c>
      <c r="C201" s="5" t="e">
        <f>VLOOKUP(A201,#REF!,3,0)</f>
        <v>#REF!</v>
      </c>
      <c r="D201" s="2" t="e">
        <f>#REF!</f>
        <v>#REF!</v>
      </c>
      <c r="E201" s="8" t="e">
        <f>#REF!/100</f>
        <v>#REF!</v>
      </c>
      <c r="F201" s="7" t="e">
        <f>#REF!</f>
        <v>#REF!</v>
      </c>
    </row>
    <row r="202" spans="1:6" x14ac:dyDescent="0.25">
      <c r="A202" t="e">
        <f>#REF!</f>
        <v>#REF!</v>
      </c>
      <c r="B202" s="2" t="e">
        <f>VLOOKUP(A202,#REF!,2,0)</f>
        <v>#REF!</v>
      </c>
      <c r="C202" s="5" t="e">
        <f>VLOOKUP(A202,#REF!,3,0)</f>
        <v>#REF!</v>
      </c>
      <c r="D202" s="2" t="e">
        <f>#REF!</f>
        <v>#REF!</v>
      </c>
      <c r="E202" s="8" t="e">
        <f>#REF!/100</f>
        <v>#REF!</v>
      </c>
      <c r="F202" s="7" t="e">
        <f>#REF!</f>
        <v>#REF!</v>
      </c>
    </row>
    <row r="203" spans="1:6" x14ac:dyDescent="0.25">
      <c r="A203" t="e">
        <f>#REF!</f>
        <v>#REF!</v>
      </c>
      <c r="B203" s="2" t="e">
        <f>VLOOKUP(A203,#REF!,2,0)</f>
        <v>#REF!</v>
      </c>
      <c r="C203" s="5" t="e">
        <f>VLOOKUP(A203,#REF!,3,0)</f>
        <v>#REF!</v>
      </c>
      <c r="D203" s="2" t="e">
        <f>#REF!</f>
        <v>#REF!</v>
      </c>
      <c r="E203" s="8" t="e">
        <f>#REF!/100</f>
        <v>#REF!</v>
      </c>
      <c r="F203" s="7" t="e">
        <f>#REF!</f>
        <v>#REF!</v>
      </c>
    </row>
    <row r="204" spans="1:6" x14ac:dyDescent="0.25">
      <c r="A204" t="e">
        <f>#REF!</f>
        <v>#REF!</v>
      </c>
      <c r="B204" s="2" t="e">
        <f>VLOOKUP(A204,#REF!,2,0)</f>
        <v>#REF!</v>
      </c>
      <c r="C204" s="5" t="e">
        <f>VLOOKUP(A204,#REF!,3,0)</f>
        <v>#REF!</v>
      </c>
      <c r="D204" s="2" t="e">
        <f>#REF!</f>
        <v>#REF!</v>
      </c>
      <c r="E204" s="8" t="e">
        <f>#REF!/100</f>
        <v>#REF!</v>
      </c>
      <c r="F204" s="7" t="e">
        <f>#REF!</f>
        <v>#REF!</v>
      </c>
    </row>
    <row r="205" spans="1:6" x14ac:dyDescent="0.25">
      <c r="A205" t="e">
        <f>#REF!</f>
        <v>#REF!</v>
      </c>
      <c r="B205" s="2" t="e">
        <f>VLOOKUP(A205,#REF!,2,0)</f>
        <v>#REF!</v>
      </c>
      <c r="C205" s="5" t="e">
        <f>VLOOKUP(A205,#REF!,3,0)</f>
        <v>#REF!</v>
      </c>
      <c r="D205" s="2" t="e">
        <f>#REF!</f>
        <v>#REF!</v>
      </c>
      <c r="E205" s="8" t="e">
        <f>#REF!/100</f>
        <v>#REF!</v>
      </c>
      <c r="F205" s="7" t="e">
        <f>#REF!</f>
        <v>#REF!</v>
      </c>
    </row>
    <row r="206" spans="1:6" x14ac:dyDescent="0.25">
      <c r="A206" t="e">
        <f>#REF!</f>
        <v>#REF!</v>
      </c>
      <c r="B206" s="2" t="e">
        <f>VLOOKUP(A206,#REF!,2,0)</f>
        <v>#REF!</v>
      </c>
      <c r="C206" s="5" t="e">
        <f>VLOOKUP(A206,#REF!,3,0)</f>
        <v>#REF!</v>
      </c>
      <c r="D206" s="2" t="e">
        <f>#REF!</f>
        <v>#REF!</v>
      </c>
      <c r="E206" s="8" t="e">
        <f>#REF!/100</f>
        <v>#REF!</v>
      </c>
      <c r="F206" s="7" t="e">
        <f>#REF!</f>
        <v>#REF!</v>
      </c>
    </row>
    <row r="207" spans="1:6" x14ac:dyDescent="0.25">
      <c r="A207" t="e">
        <f>#REF!</f>
        <v>#REF!</v>
      </c>
      <c r="B207" s="2" t="e">
        <f>VLOOKUP(A207,#REF!,2,0)</f>
        <v>#REF!</v>
      </c>
      <c r="C207" s="5" t="e">
        <f>VLOOKUP(A207,#REF!,3,0)</f>
        <v>#REF!</v>
      </c>
      <c r="D207" s="2" t="e">
        <f>#REF!</f>
        <v>#REF!</v>
      </c>
      <c r="E207" s="8" t="e">
        <f>#REF!/100</f>
        <v>#REF!</v>
      </c>
      <c r="F207" s="7" t="e">
        <f>#REF!</f>
        <v>#REF!</v>
      </c>
    </row>
    <row r="208" spans="1:6" x14ac:dyDescent="0.25">
      <c r="A208" t="e">
        <f>#REF!</f>
        <v>#REF!</v>
      </c>
      <c r="B208" s="2" t="e">
        <f>VLOOKUP(A208,#REF!,2,0)</f>
        <v>#REF!</v>
      </c>
      <c r="C208" s="5" t="e">
        <f>VLOOKUP(A208,#REF!,3,0)</f>
        <v>#REF!</v>
      </c>
      <c r="D208" s="2" t="e">
        <f>#REF!</f>
        <v>#REF!</v>
      </c>
      <c r="E208" s="8" t="e">
        <f>#REF!/100</f>
        <v>#REF!</v>
      </c>
      <c r="F208" s="7" t="e">
        <f>#REF!</f>
        <v>#REF!</v>
      </c>
    </row>
    <row r="209" spans="1:6" x14ac:dyDescent="0.25">
      <c r="A209" t="e">
        <f>#REF!</f>
        <v>#REF!</v>
      </c>
      <c r="B209" s="2" t="e">
        <f>VLOOKUP(A209,#REF!,2,0)</f>
        <v>#REF!</v>
      </c>
      <c r="C209" s="5" t="e">
        <f>VLOOKUP(A209,#REF!,3,0)</f>
        <v>#REF!</v>
      </c>
      <c r="D209" s="2" t="e">
        <f>#REF!</f>
        <v>#REF!</v>
      </c>
      <c r="E209" s="9" t="e">
        <f>#REF!/100</f>
        <v>#REF!</v>
      </c>
      <c r="F209" s="7" t="e">
        <f>#REF!</f>
        <v>#REF!</v>
      </c>
    </row>
  </sheetData>
  <mergeCells count="3">
    <mergeCell ref="A5:F5"/>
    <mergeCell ref="G5:K5"/>
    <mergeCell ref="A19:F19"/>
  </mergeCells>
  <hyperlinks>
    <hyperlink ref="I7" r:id="rId1" xr:uid="{00000000-0004-0000-0600-000000000000}"/>
    <hyperlink ref="J7" r:id="rId2" xr:uid="{00000000-0004-0000-0600-000001000000}"/>
    <hyperlink ref="J12" r:id="rId3" xr:uid="{00000000-0004-0000-0600-000002000000}"/>
    <hyperlink ref="I12" r:id="rId4" xr:uid="{00000000-0004-0000-0600-000003000000}"/>
    <hyperlink ref="I15" r:id="rId5" xr:uid="{00000000-0004-0000-0600-000004000000}"/>
    <hyperlink ref="I8" r:id="rId6" xr:uid="{00000000-0004-0000-0600-000005000000}"/>
    <hyperlink ref="I9" r:id="rId7" xr:uid="{00000000-0004-0000-0600-000006000000}"/>
    <hyperlink ref="J9" r:id="rId8" xr:uid="{00000000-0004-0000-0600-000007000000}"/>
    <hyperlink ref="I10" r:id="rId9" xr:uid="{00000000-0004-0000-0600-000008000000}"/>
    <hyperlink ref="J10" r:id="rId10" xr:uid="{00000000-0004-0000-0600-000009000000}"/>
    <hyperlink ref="I11" r:id="rId11" xr:uid="{00000000-0004-0000-0600-00000A000000}"/>
    <hyperlink ref="J11" r:id="rId12" xr:uid="{00000000-0004-0000-0600-00000B000000}"/>
    <hyperlink ref="K11" r:id="rId13" xr:uid="{00000000-0004-0000-0600-00000C000000}"/>
    <hyperlink ref="I13" r:id="rId14" xr:uid="{00000000-0004-0000-0600-00000D000000}"/>
    <hyperlink ref="I14" r:id="rId15" xr:uid="{00000000-0004-0000-0600-00000E000000}"/>
    <hyperlink ref="G14" r:id="rId16" xr:uid="{00000000-0004-0000-0600-00000F000000}"/>
    <hyperlink ref="G13" r:id="rId17" xr:uid="{00000000-0004-0000-0600-000010000000}"/>
    <hyperlink ref="G8" r:id="rId18" xr:uid="{00000000-0004-0000-0600-000011000000}"/>
    <hyperlink ref="G16" r:id="rId19" xr:uid="{00000000-0004-0000-0600-000012000000}"/>
    <hyperlink ref="G7" r:id="rId20" xr:uid="{00000000-0004-0000-0600-000013000000}"/>
    <hyperlink ref="H7" r:id="rId21" xr:uid="{00000000-0004-0000-0600-000014000000}"/>
    <hyperlink ref="G12" r:id="rId22" xr:uid="{00000000-0004-0000-0600-000015000000}"/>
    <hyperlink ref="G10" r:id="rId23" xr:uid="{00000000-0004-0000-0600-000016000000}"/>
    <hyperlink ref="H10" r:id="rId24" xr:uid="{00000000-0004-0000-0600-000017000000}"/>
    <hyperlink ref="G11" r:id="rId25" xr:uid="{00000000-0004-0000-0600-000018000000}"/>
    <hyperlink ref="G15" r:id="rId26" xr:uid="{00000000-0004-0000-0600-000019000000}"/>
    <hyperlink ref="G9" r:id="rId27" xr:uid="{00000000-0004-0000-0600-00001A000000}"/>
    <hyperlink ref="H9" r:id="rId28" xr:uid="{00000000-0004-0000-0600-00001B000000}"/>
  </hyperlinks>
  <pageMargins left="0.7" right="0.7" top="0.75" bottom="0.75" header="0.3" footer="0.3"/>
  <drawing r:id="rId29"/>
  <tableParts count="2">
    <tablePart r:id="rId30"/>
    <tablePart r:id="rId31"/>
  </tableParts>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Rates from Tracker</vt:lpstr>
      <vt:lpstr>Food Truck Sales - To Date</vt:lpstr>
      <vt:lpstr>Calculations</vt:lpstr>
      <vt:lpstr>Summary</vt:lpstr>
      <vt:lpstr>Sheet1</vt:lpstr>
      <vt:lpstr>Debit Memo Info</vt:lpstr>
      <vt:lpstr>AR Invoice Import</vt:lpstr>
      <vt:lpstr>AR Payment Import</vt:lpstr>
      <vt:lpstr>Average per store</vt:lpstr>
      <vt:lpstr>Wells Fargo Template</vt:lpstr>
      <vt:lpstr>Banking Info</vt:lpstr>
      <vt:lpstr>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dc:description/>
  <cp:lastModifiedBy>Kristen Dixon</cp:lastModifiedBy>
  <cp:revision>1</cp:revision>
  <cp:lastPrinted>2019-12-17T17:29:37Z</cp:lastPrinted>
  <dcterms:created xsi:type="dcterms:W3CDTF">2016-07-06T08:22:49Z</dcterms:created>
  <dcterms:modified xsi:type="dcterms:W3CDTF">2026-09-09T15:04:11Z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